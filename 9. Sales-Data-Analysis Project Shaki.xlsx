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najif\OneDrive\Desktop\Project\"/>
    </mc:Choice>
  </mc:AlternateContent>
  <bookViews>
    <workbookView xWindow="0" yWindow="0" windowWidth="20490" windowHeight="7500"/>
  </bookViews>
  <sheets>
    <sheet name="Raw Data" sheetId="1" r:id="rId1"/>
    <sheet name="Cleaned Restorent Sales Data" sheetId="2" r:id="rId2"/>
    <sheet name="Changelog" sheetId="3" r:id="rId3"/>
    <sheet name="Pivot Table" sheetId="7" r:id="rId4"/>
    <sheet name="Dashboard" sheetId="9" r:id="rId5"/>
    <sheet name="Insights" sheetId="4" r:id="rId6"/>
  </sheets>
  <definedNames>
    <definedName name="Slicer_City">#N/A</definedName>
    <definedName name="Slicer_Payment_Method">#N/A</definedName>
    <definedName name="Slicer_Product">#N/A</definedName>
  </definedNames>
  <calcPr calcId="162913"/>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9" i="2" l="1"/>
  <c r="M7" i="2"/>
  <c r="M5" i="2"/>
  <c r="J3" i="2" l="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 i="2"/>
</calcChain>
</file>

<file path=xl/sharedStrings.xml><?xml version="1.0" encoding="utf-8"?>
<sst xmlns="http://schemas.openxmlformats.org/spreadsheetml/2006/main" count="2635" uniqueCount="87">
  <si>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</si>
  <si>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</si>
  <si>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</si>
  <si>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</si>
  <si>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</si>
  <si>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</si>
  <si>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</si>
  <si>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</si>
  <si>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</si>
  <si>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</si>
  <si>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</si>
  <si>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</si>
  <si>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</si>
  <si>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</si>
  <si>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</si>
  <si>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</si>
  <si>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</si>
  <si>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</si>
  <si>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</si>
  <si>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</si>
  <si>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</si>
  <si>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</si>
  <si>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</si>
  <si>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</si>
  <si>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</si>
  <si>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</si>
  <si>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</si>
  <si>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</si>
  <si>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</si>
  <si>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</si>
  <si>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</si>
  <si>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</si>
  <si>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</si>
  <si>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</si>
  <si>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</si>
  <si>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</si>
  <si>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</si>
  <si>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</si>
  <si>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</si>
  <si>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Online</t>
  </si>
  <si>
    <t>In-Store</t>
  </si>
  <si>
    <t>Drive-Thru</t>
  </si>
  <si>
    <t>Gift Card</t>
  </si>
  <si>
    <t>Credit Card</t>
  </si>
  <si>
    <t>Cash</t>
  </si>
  <si>
    <t>Total revenue</t>
  </si>
  <si>
    <t>Cleaning Step</t>
  </si>
  <si>
    <t>Reason</t>
  </si>
  <si>
    <t>2. Capitalized - Purchase Type.</t>
  </si>
  <si>
    <t>3. Changed Data Types Of Price And Quantity (Removes Decimals For Quantity).</t>
  </si>
  <si>
    <t>Name Of Manager Was Not In A Proper Pattern.</t>
  </si>
  <si>
    <t>Purchase Type Was Non-Capitalized.</t>
  </si>
  <si>
    <t>To Enable Correct Excel Calutions</t>
  </si>
  <si>
    <t>To Remove Extra White Space</t>
  </si>
  <si>
    <t>To Analyse The Data Correctly.</t>
  </si>
  <si>
    <t>1. Trim(Proper) - Manager.</t>
  </si>
  <si>
    <t>4. Trim()For Columns C,F,G,H,I</t>
  </si>
  <si>
    <t>5. Added Column Total Revenue.</t>
  </si>
  <si>
    <t>Changelog</t>
  </si>
  <si>
    <t xml:space="preserve">Business Questions </t>
  </si>
  <si>
    <t>4. Which Manager Generates The Highest Total Revenue ?</t>
  </si>
  <si>
    <t>5. Which Payment Method Is Used Most Frequently By Customer ?</t>
  </si>
  <si>
    <t>2. Which Payment Method Contributes The Highest Revenue ?</t>
  </si>
  <si>
    <t>3. Which Is The Average Revenue Generated By Each Product ?</t>
  </si>
  <si>
    <t>1. Which Product Are Ordered In The Highest Quantities ?</t>
  </si>
  <si>
    <t>Row Labels</t>
  </si>
  <si>
    <t>Grand Total</t>
  </si>
  <si>
    <t>Sum of Quantity</t>
  </si>
  <si>
    <t>Sum of Total revenue</t>
  </si>
  <si>
    <t>Average of Total revenue</t>
  </si>
  <si>
    <t>Count of Order ID</t>
  </si>
  <si>
    <t>Dashboard</t>
  </si>
  <si>
    <t>Sum Of Total Revenue</t>
  </si>
  <si>
    <t>Count Of Total Orders</t>
  </si>
  <si>
    <t>Sum Of Total Quantity</t>
  </si>
  <si>
    <t>Findings</t>
  </si>
  <si>
    <t>1. Beverages have the highest quantity sold, with approximately 34,983 units, followed by Fries and Burgers.</t>
  </si>
  <si>
    <t>2. Credit Card generates the highest revenue, contributing approximately €361,715.03, followed by Cash and Gift Card.</t>
  </si>
  <si>
    <t>3. Burgers have the highest average revenue per order, at approximately €7,250.</t>
  </si>
  <si>
    <t>4. Joao Silva generates the highest total revenue, at approximately €241,714.12, followed by Tom Jackson.</t>
  </si>
  <si>
    <t>5. Credit Card is the most frequently used payment method, with 120 orders, followed by Cash with 76 orders and Gift Card with 58 orders</t>
  </si>
  <si>
    <t>Recommendations</t>
  </si>
  <si>
    <t>1.Promote and maintain sufficient stock of Beverages because they have the highest sales quantity.</t>
  </si>
  <si>
    <t>2. Continue supporting convenient digital payment options, especially Credit Card payments, because they generate the highest revenue.</t>
  </si>
  <si>
    <t>3. Promote Burgers through combo offers and suitable promotions because they have the highest average revenue.</t>
  </si>
  <si>
    <t>4. Study the sales strategies of high-performing managers, particularly Joao Silva, and share effective practices with other managers.</t>
  </si>
  <si>
    <t>5.Improve the performance of lower-selling products such as Sides &amp; Other through combo offers and promotions.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</si>
</sst>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2]\ #,##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3" tint="0.39997558519241921"/>
      <name val="Calibri"/>
      <family val="2"/>
      <scheme val="minor"/>
    </font>
    <font>
      <b/>
      <sz val="48"/>
      <color theme="3" tint="0.39997558519241921"/>
      <name val="Calibri"/>
      <family val="2"/>
      <scheme val="minor"/>
    </font>
    <font>
      <b/>
      <sz val="18"/>
      <color theme="1"/>
      <name val="Calibri"/>
      <family val="2"/>
      <scheme val="minor"/>
    </font>
    <font>
      <sz val="18"/>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164" fontId="0" fillId="0" borderId="0"/>
    <xf numFmtId="164" fontId="2" fillId="0" borderId="0" applyNumberFormat="0" applyFill="0" applyBorder="0" applyAlignment="0" applyProtection="0"/>
    <xf numFmtId="164" fontId="3" fillId="0" borderId="1" applyNumberFormat="0" applyFill="0" applyAlignment="0" applyProtection="0"/>
    <xf numFmtId="164" fontId="4" fillId="0" borderId="2" applyNumberFormat="0" applyFill="0" applyAlignment="0" applyProtection="0"/>
    <xf numFmtId="164" fontId="5" fillId="0" borderId="3" applyNumberFormat="0" applyFill="0" applyAlignment="0" applyProtection="0"/>
    <xf numFmtId="164" fontId="5" fillId="0" borderId="0" applyNumberFormat="0" applyFill="0" applyBorder="0" applyAlignment="0" applyProtection="0"/>
    <xf numFmtId="164" fontId="6" fillId="2" borderId="0" applyNumberFormat="0" applyBorder="0" applyAlignment="0" applyProtection="0"/>
    <xf numFmtId="164" fontId="7" fillId="3" borderId="0" applyNumberFormat="0" applyBorder="0" applyAlignment="0" applyProtection="0"/>
    <xf numFmtId="164" fontId="8" fillId="4" borderId="0" applyNumberFormat="0" applyBorder="0" applyAlignment="0" applyProtection="0"/>
    <xf numFmtId="164" fontId="9" fillId="5" borderId="4" applyNumberFormat="0" applyAlignment="0" applyProtection="0"/>
    <xf numFmtId="164" fontId="10" fillId="6" borderId="5" applyNumberFormat="0" applyAlignment="0" applyProtection="0"/>
    <xf numFmtId="164" fontId="11" fillId="6" borderId="4" applyNumberFormat="0" applyAlignment="0" applyProtection="0"/>
    <xf numFmtId="164" fontId="12" fillId="0" borderId="6" applyNumberFormat="0" applyFill="0" applyAlignment="0" applyProtection="0"/>
    <xf numFmtId="164" fontId="13" fillId="7" borderId="7" applyNumberFormat="0" applyAlignment="0" applyProtection="0"/>
    <xf numFmtId="164" fontId="14" fillId="0" borderId="0" applyNumberFormat="0" applyFill="0" applyBorder="0" applyAlignment="0" applyProtection="0"/>
    <xf numFmtId="164" fontId="1" fillId="8" borderId="8" applyNumberFormat="0" applyFont="0" applyAlignment="0" applyProtection="0"/>
    <xf numFmtId="164" fontId="15" fillId="0" borderId="0" applyNumberFormat="0" applyFill="0" applyBorder="0" applyAlignment="0" applyProtection="0"/>
    <xf numFmtId="164" fontId="16" fillId="0" borderId="9" applyNumberFormat="0" applyFill="0" applyAlignment="0" applyProtection="0"/>
    <xf numFmtId="164" fontId="17" fillId="9" borderId="0" applyNumberFormat="0" applyBorder="0" applyAlignment="0" applyProtection="0"/>
    <xf numFmtId="164" fontId="1" fillId="10" borderId="0" applyNumberFormat="0" applyBorder="0" applyAlignment="0" applyProtection="0"/>
    <xf numFmtId="164" fontId="1" fillId="11" borderId="0" applyNumberFormat="0" applyBorder="0" applyAlignment="0" applyProtection="0"/>
    <xf numFmtId="164" fontId="17" fillId="12" borderId="0" applyNumberFormat="0" applyBorder="0" applyAlignment="0" applyProtection="0"/>
    <xf numFmtId="164" fontId="17" fillId="13" borderId="0" applyNumberFormat="0" applyBorder="0" applyAlignment="0" applyProtection="0"/>
    <xf numFmtId="164" fontId="1" fillId="14" borderId="0" applyNumberFormat="0" applyBorder="0" applyAlignment="0" applyProtection="0"/>
    <xf numFmtId="164" fontId="1" fillId="15" borderId="0" applyNumberFormat="0" applyBorder="0" applyAlignment="0" applyProtection="0"/>
    <xf numFmtId="164" fontId="17" fillId="16" borderId="0" applyNumberFormat="0" applyBorder="0" applyAlignment="0" applyProtection="0"/>
    <xf numFmtId="164" fontId="17" fillId="17" borderId="0" applyNumberFormat="0" applyBorder="0" applyAlignment="0" applyProtection="0"/>
    <xf numFmtId="164" fontId="1" fillId="18" borderId="0" applyNumberFormat="0" applyBorder="0" applyAlignment="0" applyProtection="0"/>
    <xf numFmtId="164" fontId="1" fillId="19" borderId="0" applyNumberFormat="0" applyBorder="0" applyAlignment="0" applyProtection="0"/>
    <xf numFmtId="164" fontId="17" fillId="20" borderId="0" applyNumberFormat="0" applyBorder="0" applyAlignment="0" applyProtection="0"/>
    <xf numFmtId="164" fontId="17" fillId="21" borderId="0" applyNumberFormat="0" applyBorder="0" applyAlignment="0" applyProtection="0"/>
    <xf numFmtId="164" fontId="1" fillId="22" borderId="0" applyNumberFormat="0" applyBorder="0" applyAlignment="0" applyProtection="0"/>
    <xf numFmtId="164" fontId="1" fillId="23" borderId="0" applyNumberFormat="0" applyBorder="0" applyAlignment="0" applyProtection="0"/>
    <xf numFmtId="164" fontId="17" fillId="24" borderId="0" applyNumberFormat="0" applyBorder="0" applyAlignment="0" applyProtection="0"/>
    <xf numFmtId="164" fontId="17" fillId="25" borderId="0" applyNumberFormat="0" applyBorder="0" applyAlignment="0" applyProtection="0"/>
    <xf numFmtId="164" fontId="1" fillId="26" borderId="0" applyNumberFormat="0" applyBorder="0" applyAlignment="0" applyProtection="0"/>
    <xf numFmtId="164" fontId="1" fillId="27" borderId="0" applyNumberFormat="0" applyBorder="0" applyAlignment="0" applyProtection="0"/>
    <xf numFmtId="164" fontId="17" fillId="28" borderId="0" applyNumberFormat="0" applyBorder="0" applyAlignment="0" applyProtection="0"/>
    <xf numFmtId="164" fontId="17" fillId="29" borderId="0" applyNumberFormat="0" applyBorder="0" applyAlignment="0" applyProtection="0"/>
    <xf numFmtId="164" fontId="1" fillId="30" borderId="0" applyNumberFormat="0" applyBorder="0" applyAlignment="0" applyProtection="0"/>
    <xf numFmtId="164" fontId="1" fillId="31" borderId="0" applyNumberFormat="0" applyBorder="0" applyAlignment="0" applyProtection="0"/>
    <xf numFmtId="164" fontId="17" fillId="32" borderId="0" applyNumberFormat="0" applyBorder="0" applyAlignment="0" applyProtection="0"/>
  </cellStyleXfs>
  <cellXfs count="17">
    <xf numFmtId="164" fontId="0" fillId="0" borderId="0" xfId="0"/>
    <xf numFmtId="14" fontId="0" fillId="0" borderId="0" xfId="0" applyNumberFormat="1"/>
    <xf numFmtId="164" fontId="0" fillId="0" borderId="0" xfId="0" applyNumberFormat="1"/>
    <xf numFmtId="1" fontId="0" fillId="0" borderId="0" xfId="0" applyNumberFormat="1"/>
    <xf numFmtId="164" fontId="16" fillId="0" borderId="0" xfId="0" applyFont="1"/>
    <xf numFmtId="164" fontId="0" fillId="0" borderId="0" xfId="0" pivotButton="1"/>
    <xf numFmtId="164" fontId="0" fillId="0" borderId="0" xfId="0" applyNumberFormat="1"/>
    <xf numFmtId="164" fontId="0" fillId="34" borderId="0" xfId="0" applyFill="1"/>
    <xf numFmtId="164" fontId="0" fillId="0" borderId="0" xfId="0" applyNumberFormat="1" applyAlignment="1">
      <alignment horizontal="left"/>
    </xf>
    <xf numFmtId="164" fontId="18" fillId="0" borderId="0" xfId="0" applyFont="1"/>
    <xf numFmtId="164" fontId="18" fillId="33" borderId="0" xfId="0" applyFont="1" applyFill="1"/>
    <xf numFmtId="164" fontId="19" fillId="33" borderId="0" xfId="0" applyFont="1" applyFill="1" applyAlignment="1">
      <alignment horizontal="center"/>
    </xf>
    <xf numFmtId="164" fontId="20" fillId="33" borderId="10" xfId="0" applyFont="1" applyFill="1" applyBorder="1" applyAlignment="1">
      <alignment horizontal="center"/>
    </xf>
    <xf numFmtId="164" fontId="21" fillId="33" borderId="10" xfId="0" applyFont="1" applyFill="1" applyBorder="1" applyAlignment="1">
      <alignment horizontal="center"/>
    </xf>
    <xf numFmtId="164" fontId="16" fillId="35" borderId="10" xfId="0" applyFont="1" applyFill="1" applyBorder="1"/>
    <xf numFmtId="164" fontId="0" fillId="35" borderId="10" xfId="0" applyFill="1" applyBorder="1"/>
    <xf numFmtId="164"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4" formatCode="[$€-2]\ #,##0.00"/>
    </dxf>
    <dxf>
      <numFmt numFmtId="1" formatCode="0"/>
    </dxf>
    <dxf>
      <numFmt numFmtId="164" formatCode="[$€-2]\ #,##0.00"/>
    </dxf>
    <dxf>
      <numFmt numFmtId="19" formatCode="dd/mm/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[9. Sales-Data-Analysis Project Shaki.xlsx]Pivot Table!PivotTable3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Sales By Product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Table'!$C$5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delete val="1"/>
          </c:dLbls>
          <c:cat>
            <c:strRef>
              <c:f>'Pivot Table'!$B$6:$B$11</c:f>
              <c:strCache>
                <c:ptCount val="5"/>
                <c:pt idx="0">
                  <c:v>Beverages</c:v>
                </c:pt>
                <c:pt idx="1">
                  <c:v>Fries</c:v>
                </c:pt>
                <c:pt idx="2">
                  <c:v>Burgers</c:v>
                </c:pt>
                <c:pt idx="3">
                  <c:v>Chicken Sandwiches</c:v>
                </c:pt>
                <c:pt idx="4">
                  <c:v>Sides &amp; Other</c:v>
                </c:pt>
              </c:strCache>
            </c:strRef>
          </c:cat>
          <c:val>
            <c:numRef>
              <c:f>'Pivot Table'!$C$6:$C$11</c:f>
              <c:numCache>
                <c:formatCode>[$€-2]\ #,##0.00</c:formatCode>
                <c:ptCount val="5"/>
                <c:pt idx="0">
                  <c:v>34983.140000000007</c:v>
                </c:pt>
                <c:pt idx="1">
                  <c:v>32034.339999999986</c:v>
                </c:pt>
                <c:pt idx="2">
                  <c:v>29022.309999999994</c:v>
                </c:pt>
                <c:pt idx="3">
                  <c:v>11135.920000000002</c:v>
                </c:pt>
                <c:pt idx="4">
                  <c:v>9819.5999999999913</c:v>
                </c:pt>
              </c:numCache>
            </c:numRef>
          </c:val>
          <c:extLst>
            <c:ext xmlns:c16="http://schemas.microsoft.com/office/drawing/2014/chart" uri="{C3380CC4-5D6E-409C-BE32-E72D297353CC}">
              <c16:uniqueId val="{00000000-5CB2-4672-A031-92F24A379791}"/>
            </c:ext>
          </c:extLst>
        </c:ser>
        <c:dLbls>
          <c:dLblPos val="inEnd"/>
          <c:showLegendKey val="0"/>
          <c:showVal val="1"/>
          <c:showCatName val="0"/>
          <c:showSerName val="0"/>
          <c:showPercent val="0"/>
          <c:showBubbleSize val="0"/>
        </c:dLbls>
        <c:gapWidth val="100"/>
        <c:overlap val="-24"/>
        <c:axId val="766515007"/>
        <c:axId val="766516671"/>
      </c:barChart>
      <c:catAx>
        <c:axId val="7665150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6516671"/>
        <c:crosses val="autoZero"/>
        <c:auto val="1"/>
        <c:lblAlgn val="ctr"/>
        <c:lblOffset val="100"/>
        <c:noMultiLvlLbl val="0"/>
      </c:catAx>
      <c:valAx>
        <c:axId val="766516671"/>
        <c:scaling>
          <c:orientation val="minMax"/>
        </c:scaling>
        <c:delete val="0"/>
        <c:axPos val="l"/>
        <c:majorGridlines>
          <c:spPr>
            <a:ln w="9525" cap="flat" cmpd="sng" algn="ctr">
              <a:solidFill>
                <a:schemeClr val="tx2">
                  <a:lumMod val="15000"/>
                  <a:lumOff val="85000"/>
                </a:schemeClr>
              </a:solidFill>
              <a:round/>
            </a:ln>
            <a:effectLst/>
          </c:spPr>
        </c:majorGridlines>
        <c:numFmt formatCode="[$€-2]\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651500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 Sales-Data-Analysis Project Shaki.xlsx]Pivot Table!PivotTable7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Rvenue By Payment Method</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outerShdw blurRad="254000" sx="102000" sy="102000" algn="ctr" rotWithShape="0">
              <a:prstClr val="black">
                <a:alpha val="20000"/>
              </a:prstClr>
            </a:outerShdw>
          </a:effectLst>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'Pivot Table'!$F$5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768-4438-AB1A-0E5D4D9BF28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768-4438-AB1A-0E5D4D9BF28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768-4438-AB1A-0E5D4D9BF2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'Pivot Table'!$E$6:$E$9</c:f>
              <c:strCache>
                <c:ptCount val="3"/>
                <c:pt idx="0">
                  <c:v>Credit Card</c:v>
                </c:pt>
                <c:pt idx="1">
                  <c:v>Cash</c:v>
                </c:pt>
                <c:pt idx="2">
                  <c:v>Gift Card</c:v>
                </c:pt>
              </c:strCache>
            </c:strRef>
          </c:cat>
          <c:val>
            <c:numRef>
              <c:f>'Pivot Table'!$F$6:$F$9</c:f>
              <c:numCache>
                <c:formatCode>[$€-2]\ #,##0.00</c:formatCode>
                <c:ptCount val="3"/>
                <c:pt idx="0">
                  <c:v>361715.02650000021</c:v>
                </c:pt>
                <c:pt idx="1">
                  <c:v>239200.23550000007</c:v>
                </c:pt>
                <c:pt idx="2">
                  <c:v>168600.59719999996</c:v>
                </c:pt>
              </c:numCache>
            </c:numRef>
          </c:val>
          <c:extLst>
            <c:ext xmlns:c16="http://schemas.microsoft.com/office/drawing/2014/chart" uri="{C3380CC4-5D6E-409C-BE32-E72D297353CC}">
              <c16:uniqueId val="{00000006-E768-4438-AB1A-0E5D4D9BF28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[9. Sales-Data-Analysis Project Shaki.xlsx]Pivot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Of Total revenue By Product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'Pivot Table'!$J$5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 Table'!$I$6:$I$11</c:f>
              <c:strCache>
                <c:ptCount val="5"/>
                <c:pt idx="0">
                  <c:v>Burgers</c:v>
                </c:pt>
                <c:pt idx="1">
                  <c:v>Fries</c:v>
                </c:pt>
                <c:pt idx="2">
                  <c:v>Chicken Sandwiches</c:v>
                </c:pt>
                <c:pt idx="3">
                  <c:v>Beverages</c:v>
                </c:pt>
                <c:pt idx="4">
                  <c:v>Sides &amp; Other</c:v>
                </c:pt>
              </c:strCache>
            </c:strRef>
          </c:cat>
          <c:val>
            <c:numRef>
              <c:f>'Pivot Table'!$J$6:$J$11</c:f>
              <c:numCache>
                <c:formatCode>[$€-2]\ #,##0.00</c:formatCode>
                <c:ptCount val="5"/>
                <c:pt idx="0">
                  <c:v>7249.9962865384596</c:v>
                </c:pt>
                <c:pt idx="1">
                  <c:v>2464.2017705882331</c:v>
                </c:pt>
                <c:pt idx="2">
                  <c:v>2204.6479807692313</c:v>
                </c:pt>
                <c:pt idx="3">
                  <c:v>2064.0052599999985</c:v>
                </c:pt>
                <c:pt idx="4">
                  <c:v>999.9959999999993</c:v>
                </c:pt>
              </c:numCache>
            </c:numRef>
          </c:val>
          <c:extLst>
            <c:ext xmlns:c16="http://schemas.microsoft.com/office/drawing/2014/chart" uri="{C3380CC4-5D6E-409C-BE32-E72D297353CC}">
              <c16:uniqueId val="{00000000-F2CB-4D44-9989-EA3B6C25D2ED}"/>
            </c:ext>
          </c:extLst>
        </c:ser>
        <c:dLbls>
          <c:showLegendKey val="0"/>
          <c:showVal val="0"/>
          <c:showCatName val="0"/>
          <c:showSerName val="0"/>
          <c:showPercent val="0"/>
          <c:showBubbleSize val="0"/>
        </c:dLbls>
        <c:gapWidth val="100"/>
        <c:axId val="1038391967"/>
        <c:axId val="1038395711"/>
      </c:barChart>
      <c:catAx>
        <c:axId val="103839196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8395711"/>
        <c:crosses val="autoZero"/>
        <c:auto val="1"/>
        <c:lblAlgn val="ctr"/>
        <c:lblOffset val="100"/>
        <c:noMultiLvlLbl val="0"/>
      </c:catAx>
      <c:valAx>
        <c:axId val="1038395711"/>
        <c:scaling>
          <c:orientation val="minMax"/>
        </c:scaling>
        <c:delete val="0"/>
        <c:axPos val="b"/>
        <c:majorGridlines>
          <c:spPr>
            <a:ln w="9525" cap="flat" cmpd="sng" algn="ctr">
              <a:solidFill>
                <a:schemeClr val="tx2">
                  <a:lumMod val="15000"/>
                  <a:lumOff val="85000"/>
                </a:schemeClr>
              </a:solidFill>
              <a:round/>
            </a:ln>
            <a:effectLst/>
          </c:spPr>
        </c:majorGridlines>
        <c:numFmt formatCode="[$€-2]\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383919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[9. Sales-Data-Analysis Project Shaki.xlsx]Pivot Table!PivotTable5</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Revenue By Manager</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 Table'!$C$15</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'Pivot Table'!$B$16:$B$21</c:f>
              <c:strCache>
                <c:ptCount val="5"/>
                <c:pt idx="0">
                  <c:v>Joao Silva</c:v>
                </c:pt>
                <c:pt idx="1">
                  <c:v>Tom Jackson</c:v>
                </c:pt>
                <c:pt idx="2">
                  <c:v>Pablo Perez</c:v>
                </c:pt>
                <c:pt idx="3">
                  <c:v>Walter Muller</c:v>
                </c:pt>
                <c:pt idx="4">
                  <c:v>Remy Monet</c:v>
                </c:pt>
              </c:strCache>
            </c:strRef>
          </c:cat>
          <c:val>
            <c:numRef>
              <c:f>'Pivot Table'!$C$16:$C$21</c:f>
              <c:numCache>
                <c:formatCode>[$€-2]\ #,##0.00</c:formatCode>
                <c:ptCount val="5"/>
                <c:pt idx="0">
                  <c:v>241714.11570000008</c:v>
                </c:pt>
                <c:pt idx="1">
                  <c:v>211201.04059999986</c:v>
                </c:pt>
                <c:pt idx="2">
                  <c:v>136200.26649999997</c:v>
                </c:pt>
                <c:pt idx="3">
                  <c:v>100600.13129999998</c:v>
                </c:pt>
                <c:pt idx="4">
                  <c:v>79800.305099999983</c:v>
                </c:pt>
              </c:numCache>
            </c:numRef>
          </c:val>
          <c:extLst>
            <c:ext xmlns:c16="http://schemas.microsoft.com/office/drawing/2014/chart" uri="{C3380CC4-5D6E-409C-BE32-E72D297353CC}">
              <c16:uniqueId val="{00000000-1228-4094-BB48-0C31CD8FAF00}"/>
            </c:ext>
          </c:extLst>
        </c:ser>
        <c:dLbls>
          <c:showLegendKey val="0"/>
          <c:showVal val="0"/>
          <c:showCatName val="0"/>
          <c:showSerName val="0"/>
          <c:showPercent val="0"/>
          <c:showBubbleSize val="0"/>
        </c:dLbls>
        <c:gapWidth val="100"/>
        <c:overlap val="-24"/>
        <c:axId val="1178229775"/>
        <c:axId val="1178222287"/>
      </c:barChart>
      <c:catAx>
        <c:axId val="117822977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8222287"/>
        <c:crosses val="autoZero"/>
        <c:auto val="1"/>
        <c:lblAlgn val="ctr"/>
        <c:lblOffset val="100"/>
        <c:noMultiLvlLbl val="0"/>
      </c:catAx>
      <c:valAx>
        <c:axId val="1178222287"/>
        <c:scaling>
          <c:orientation val="minMax"/>
        </c:scaling>
        <c:delete val="0"/>
        <c:axPos val="l"/>
        <c:majorGridlines>
          <c:spPr>
            <a:ln w="9525" cap="flat" cmpd="sng" algn="ctr">
              <a:solidFill>
                <a:schemeClr val="tx2">
                  <a:lumMod val="15000"/>
                  <a:lumOff val="85000"/>
                </a:schemeClr>
              </a:solidFill>
              <a:round/>
            </a:ln>
            <a:effectLst/>
          </c:spPr>
        </c:majorGridlines>
        <c:numFmt formatCode="[$€-2]\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82297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[9. Sales-Data-Analysis Project Shaki.xlsx]Pivot Table!PivotTable6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ID Count By Payment Method</a:t>
            </a:r>
          </a:p>
        </c:rich>
      </c:tx>
      <c:layout>
        <c:manualLayout>
          <c:xMode val="edge"/>
          <c:yMode val="edge"/>
          <c:x val="0.19675543890347039"/>
          <c:y val="0.1377161910746952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5"/>
          </a:solidFill>
          <a:ln>
            <a:noFill/>
          </a:ln>
          <a:effectLst>
            <a:outerShdw blurRad="254000" sx="102000" sy="102000" algn="ctr" rotWithShape="0">
              <a:prstClr val="black">
                <a:alpha val="20000"/>
              </a:prstClr>
            </a:outerShdw>
          </a:effectLst>
        </c:spPr>
        <c:marker>
          <c:spPr>
            <a:solidFill>
              <a:schemeClr val="accent5">
                <a:alpha val="85000"/>
              </a:schemeClr>
            </a:solidFill>
            <a:ln>
              <a:noFill/>
            </a:ln>
            <a:effectLst/>
          </c:spPr>
        </c:marker>
        <c:dLbl>
          <c:idx val="0"/>
          <c:layout/>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0"/>
        <c:spPr>
          <a:solidFill>
            <a:schemeClr val="accent5"/>
          </a:solidFill>
          <a:ln>
            <a:noFill/>
          </a:ln>
          <a:effectLst>
            <a:outerShdw blurRad="254000" sx="102000" sy="102000" algn="ctr" rotWithShape="0">
              <a:prstClr val="black">
                <a:alpha val="20000"/>
              </a:prstClr>
            </a:outerShdw>
          </a:effectLst>
        </c:spPr>
        <c:marker>
          <c:symbol val="none"/>
        </c:marker>
      </c:pivotFmt>
    </c:pivotFmts>
    <c:plotArea>
      <c:layout/>
      <c:pieChart>
        <c:varyColors val="1"/>
        <c:ser>
          <c:idx val="0"/>
          <c:order val="0"/>
          <c:tx>
            <c:strRef>
              <c:f>'Pivot Table'!$F$15</c:f>
              <c:strCache>
                <c:ptCount val="1"/>
                <c:pt idx="0">
                  <c:v>Total</c:v>
                </c:pt>
              </c:strCache>
            </c:strRef>
          </c:tx>
          <c:dPt>
            <c:idx val="0"/>
            <c:bubble3D val="0"/>
            <c:spPr>
              <a:solidFill>
                <a:schemeClr val="accent5">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03B-4671-9B49-D6921F18F018}"/>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03B-4671-9B49-D6921F18F018}"/>
              </c:ext>
            </c:extLst>
          </c:dPt>
          <c:dPt>
            <c:idx val="2"/>
            <c:bubble3D val="0"/>
            <c:spPr>
              <a:solidFill>
                <a:schemeClr val="accent5">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03B-4671-9B49-D6921F18F018}"/>
              </c:ext>
            </c:extLst>
          </c:dPt>
          <c:dLbls>
            <c:delete val="1"/>
          </c:dLbls>
          <c:cat>
            <c:strRef>
              <c:f>'Pivot Table'!$E$16:$E$19</c:f>
              <c:strCache>
                <c:ptCount val="3"/>
                <c:pt idx="0">
                  <c:v>Credit Card</c:v>
                </c:pt>
                <c:pt idx="1">
                  <c:v>Cash</c:v>
                </c:pt>
                <c:pt idx="2">
                  <c:v>Gift Card</c:v>
                </c:pt>
              </c:strCache>
            </c:strRef>
          </c:cat>
          <c:val>
            <c:numRef>
              <c:f>'Pivot Table'!$F$16:$F$19</c:f>
              <c:numCache>
                <c:formatCode>[$€-2]\ #,##0.00</c:formatCode>
                <c:ptCount val="3"/>
                <c:pt idx="0">
                  <c:v>120</c:v>
                </c:pt>
                <c:pt idx="1">
                  <c:v>76</c:v>
                </c:pt>
                <c:pt idx="2">
                  <c:v>58</c:v>
                </c:pt>
              </c:numCache>
            </c:numRef>
          </c:val>
          <c:extLst>
            <c:ext xmlns:c16="http://schemas.microsoft.com/office/drawing/2014/chart" uri="{C3380CC4-5D6E-409C-BE32-E72D297353CC}">
              <c16:uniqueId val="{00000006-C03B-4671-9B49-D6921F18F01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81644</xdr:colOff>
      <xdr:row>2</xdr:row>
      <xdr:rowOff>64945</xdr:rowOff>
    </xdr:from>
    <xdr:to>
      <xdr:col>14</xdr:col>
      <xdr:colOff>579542</xdr:colOff>
      <xdr:row>14</xdr:row>
      <xdr:rowOff>64945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328322</xdr:colOff>
      <xdr:row>2</xdr:row>
      <xdr:rowOff>85388</xdr:rowOff>
    </xdr:from>
    <xdr:to>
      <xdr:col>22</xdr:col>
      <xdr:colOff>423574</xdr:colOff>
      <xdr:row>13</xdr:row>
      <xdr:rowOff>180638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64944</xdr:colOff>
      <xdr:row>15</xdr:row>
      <xdr:rowOff>129885</xdr:rowOff>
    </xdr:from>
    <xdr:to>
      <xdr:col>15</xdr:col>
      <xdr:colOff>54120</xdr:colOff>
      <xdr:row>27</xdr:row>
      <xdr:rowOff>162790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332000</xdr:colOff>
      <xdr:row>15</xdr:row>
      <xdr:rowOff>151603</xdr:rowOff>
    </xdr:from>
    <xdr:to>
      <xdr:col>22</xdr:col>
      <xdr:colOff>446425</xdr:colOff>
      <xdr:row>27</xdr:row>
      <xdr:rowOff>123895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598095</xdr:colOff>
      <xdr:row>29</xdr:row>
      <xdr:rowOff>16081</xdr:rowOff>
    </xdr:from>
    <xdr:to>
      <xdr:col>18</xdr:col>
      <xdr:colOff>598095</xdr:colOff>
      <xdr:row>41</xdr:row>
      <xdr:rowOff>107434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102363</xdr:colOff>
      <xdr:row>2</xdr:row>
      <xdr:rowOff>45769</xdr:rowOff>
    </xdr:from>
    <xdr:to>
      <xdr:col>6</xdr:col>
      <xdr:colOff>606446</xdr:colOff>
      <xdr:row>11</xdr:row>
      <xdr:rowOff>165697</xdr:rowOff>
    </xdr:to>
    <xdr:grpSp>
      <xdr:nvGrpSpPr>
        <xdr:cNvPr id="13" name="Group 12"/>
        <xdr:cNvGrpSpPr/>
      </xdr:nvGrpSpPr>
      <xdr:grpSpPr>
        <a:xfrm>
          <a:off x="2557696" y="1019436"/>
          <a:ext cx="1731750" cy="1834428"/>
          <a:chOff x="2002416" y="1060738"/>
          <a:chExt cx="1710170" cy="1877723"/>
        </a:xfrm>
      </xdr:grpSpPr>
      <xdr:sp macro="" textlink="">
        <xdr:nvSpPr>
          <xdr:cNvPr id="7" name="Rounded Rectangle 6"/>
          <xdr:cNvSpPr/>
        </xdr:nvSpPr>
        <xdr:spPr>
          <a:xfrm>
            <a:off x="2002416" y="1060738"/>
            <a:ext cx="1710170" cy="187772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xdr:cNvSpPr txBox="1"/>
        </xdr:nvSpPr>
        <xdr:spPr>
          <a:xfrm>
            <a:off x="2141038" y="1377736"/>
            <a:ext cx="1415828" cy="43006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2">
                    <a:lumMod val="75000"/>
                  </a:schemeClr>
                </a:solidFill>
              </a:rPr>
              <a:t>Total Revenue</a:t>
            </a:r>
          </a:p>
        </xdr:txBody>
      </xdr:sp>
      <xdr:sp macro="" textlink="'Cleaned Restorent Sales Data'!M5">
        <xdr:nvSpPr>
          <xdr:cNvPr id="10" name="TextBox 9"/>
          <xdr:cNvSpPr txBox="1"/>
        </xdr:nvSpPr>
        <xdr:spPr>
          <a:xfrm>
            <a:off x="2294660" y="1959119"/>
            <a:ext cx="1147330" cy="487074"/>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0E0BE7-F662-4F38-BBCB-AB0E25B054D0}" type="TxLink">
              <a:rPr lang="en-US" sz="1400" b="1" i="0" u="none" strike="noStrike">
                <a:solidFill>
                  <a:schemeClr val="tx2">
                    <a:lumMod val="75000"/>
                  </a:schemeClr>
                </a:solidFill>
                <a:latin typeface="Calibri"/>
                <a:ea typeface="Calibri"/>
                <a:cs typeface="Calibri"/>
              </a:rPr>
              <a:pPr algn="ctr"/>
              <a:t>€ 769,515.86</a:t>
            </a:fld>
            <a:endParaRPr lang="en-US" sz="1400" b="1">
              <a:solidFill>
                <a:schemeClr val="tx2">
                  <a:lumMod val="75000"/>
                </a:schemeClr>
              </a:solidFill>
            </a:endParaRPr>
          </a:p>
        </xdr:txBody>
      </xdr:sp>
    </xdr:grpSp>
    <xdr:clientData/>
  </xdr:twoCellAnchor>
  <xdr:twoCellAnchor>
    <xdr:from>
      <xdr:col>4</xdr:col>
      <xdr:colOff>85972</xdr:colOff>
      <xdr:row>12</xdr:row>
      <xdr:rowOff>54429</xdr:rowOff>
    </xdr:from>
    <xdr:to>
      <xdr:col>7</xdr:col>
      <xdr:colOff>108857</xdr:colOff>
      <xdr:row>21</xdr:row>
      <xdr:rowOff>176274</xdr:rowOff>
    </xdr:to>
    <xdr:grpSp>
      <xdr:nvGrpSpPr>
        <xdr:cNvPr id="18" name="Group 17"/>
        <xdr:cNvGrpSpPr/>
      </xdr:nvGrpSpPr>
      <xdr:grpSpPr>
        <a:xfrm>
          <a:off x="2541305" y="2933096"/>
          <a:ext cx="1864385" cy="1836345"/>
          <a:chOff x="2013239" y="3214688"/>
          <a:chExt cx="1948295" cy="1959118"/>
        </a:xfrm>
      </xdr:grpSpPr>
      <xdr:sp macro="" textlink="">
        <xdr:nvSpPr>
          <xdr:cNvPr id="11" name="Rounded Rectangle 10"/>
          <xdr:cNvSpPr/>
        </xdr:nvSpPr>
        <xdr:spPr>
          <a:xfrm>
            <a:off x="2013239" y="3214688"/>
            <a:ext cx="1948295" cy="195911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xdr:cNvSpPr txBox="1"/>
        </xdr:nvSpPr>
        <xdr:spPr>
          <a:xfrm>
            <a:off x="2273012" y="3604347"/>
            <a:ext cx="1472045" cy="379735"/>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tx2">
                    <a:lumMod val="75000"/>
                  </a:schemeClr>
                </a:solidFill>
              </a:rPr>
              <a:t>Total Quantity</a:t>
            </a:r>
          </a:p>
        </xdr:txBody>
      </xdr:sp>
      <xdr:sp macro="" textlink="'Cleaned Restorent Sales Data'!M9">
        <xdr:nvSpPr>
          <xdr:cNvPr id="15" name="TextBox 14"/>
          <xdr:cNvSpPr txBox="1"/>
        </xdr:nvSpPr>
        <xdr:spPr>
          <a:xfrm>
            <a:off x="2348778" y="4264602"/>
            <a:ext cx="1342159" cy="508722"/>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625994-1FEE-4DB3-BA37-78F8CB3CBB56}" type="TxLink">
              <a:rPr lang="en-US" sz="2000" b="1" i="0" u="none" strike="noStrike">
                <a:solidFill>
                  <a:schemeClr val="tx2">
                    <a:lumMod val="75000"/>
                  </a:schemeClr>
                </a:solidFill>
                <a:latin typeface="Calibri"/>
                <a:ea typeface="Calibri"/>
                <a:cs typeface="Calibri"/>
              </a:rPr>
              <a:pPr algn="ctr"/>
              <a:t>116995</a:t>
            </a:fld>
            <a:endParaRPr lang="en-US" sz="2000" b="1">
              <a:solidFill>
                <a:schemeClr val="tx2">
                  <a:lumMod val="75000"/>
                </a:schemeClr>
              </a:solidFill>
            </a:endParaRPr>
          </a:p>
        </xdr:txBody>
      </xdr:sp>
    </xdr:grpSp>
    <xdr:clientData/>
  </xdr:twoCellAnchor>
  <xdr:twoCellAnchor>
    <xdr:from>
      <xdr:col>4</xdr:col>
      <xdr:colOff>95249</xdr:colOff>
      <xdr:row>22</xdr:row>
      <xdr:rowOff>163285</xdr:rowOff>
    </xdr:from>
    <xdr:to>
      <xdr:col>7</xdr:col>
      <xdr:colOff>109785</xdr:colOff>
      <xdr:row>33</xdr:row>
      <xdr:rowOff>31853</xdr:rowOff>
    </xdr:to>
    <xdr:grpSp>
      <xdr:nvGrpSpPr>
        <xdr:cNvPr id="22" name="Group 21"/>
        <xdr:cNvGrpSpPr/>
      </xdr:nvGrpSpPr>
      <xdr:grpSpPr>
        <a:xfrm>
          <a:off x="2550582" y="4946952"/>
          <a:ext cx="1856036" cy="1964068"/>
          <a:chOff x="2048493" y="5197311"/>
          <a:chExt cx="2020971" cy="2127971"/>
        </a:xfrm>
      </xdr:grpSpPr>
      <xdr:sp macro="" textlink="">
        <xdr:nvSpPr>
          <xdr:cNvPr id="12" name="Rounded Rectangle 11"/>
          <xdr:cNvSpPr/>
        </xdr:nvSpPr>
        <xdr:spPr>
          <a:xfrm>
            <a:off x="2048493" y="5197311"/>
            <a:ext cx="2020971" cy="212797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xdr:cNvSpPr txBox="1"/>
        </xdr:nvSpPr>
        <xdr:spPr>
          <a:xfrm>
            <a:off x="2340429" y="5510893"/>
            <a:ext cx="1496785" cy="557892"/>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tx2">
                    <a:lumMod val="75000"/>
                  </a:schemeClr>
                </a:solidFill>
              </a:rPr>
              <a:t>Total Orders</a:t>
            </a:r>
          </a:p>
        </xdr:txBody>
      </xdr:sp>
      <xdr:sp macro="" textlink="'Cleaned Restorent Sales Data'!M7">
        <xdr:nvSpPr>
          <xdr:cNvPr id="17" name="TextBox 16"/>
          <xdr:cNvSpPr txBox="1"/>
        </xdr:nvSpPr>
        <xdr:spPr>
          <a:xfrm>
            <a:off x="2432895" y="6231143"/>
            <a:ext cx="1322057" cy="65376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BB32C57-5BD7-489C-ADB3-EC761BFFB72B}" type="TxLink">
              <a:rPr lang="en-US" sz="3200" b="1" i="0" u="none" strike="noStrike">
                <a:solidFill>
                  <a:schemeClr val="tx2">
                    <a:lumMod val="75000"/>
                  </a:schemeClr>
                </a:solidFill>
                <a:latin typeface="Calibri"/>
                <a:ea typeface="Calibri"/>
                <a:cs typeface="Calibri"/>
              </a:rPr>
              <a:pPr algn="ctr"/>
              <a:t>254</a:t>
            </a:fld>
            <a:endParaRPr lang="en-US" sz="3200" b="1">
              <a:solidFill>
                <a:schemeClr val="tx2">
                  <a:lumMod val="75000"/>
                </a:schemeClr>
              </a:solidFill>
            </a:endParaRPr>
          </a:p>
        </xdr:txBody>
      </xdr:sp>
    </xdr:grpSp>
    <xdr:clientData/>
  </xdr:twoCellAnchor>
  <xdr:twoCellAnchor editAs="oneCell">
    <xdr:from>
      <xdr:col>0</xdr:col>
      <xdr:colOff>340179</xdr:colOff>
      <xdr:row>2</xdr:row>
      <xdr:rowOff>149678</xdr:rowOff>
    </xdr:from>
    <xdr:to>
      <xdr:col>3</xdr:col>
      <xdr:colOff>350570</xdr:colOff>
      <xdr:row>10</xdr:row>
      <xdr:rowOff>109846</xdr:rowOff>
    </xdr:to>
    <mc:AlternateContent xmlns:mc="http://schemas.openxmlformats.org/markup-compatibility/2006">
      <mc:Choice xmlns:a14="http://schemas.microsoft.com/office/drawing/2010/main" Requires="a14">
        <xdr:graphicFrame macro="">
          <xdr:nvGraphicFramePr>
            <xdr:cNvPr id="19" name="Payment Method 1"/>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dr:sp macro="" textlink="">
          <xdr:nvSpPr>
            <xdr:cNvPr id="0" name=""/>
            <xdr:cNvSpPr>
              <a:spLocks noTextEdit="1"/>
            </xdr:cNvSpPr>
          </xdr:nvSpPr>
          <xdr:spPr>
            <a:xfrm>
              <a:off x="340179" y="1123345"/>
              <a:ext cx="1851891" cy="1484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367393</xdr:colOff>
      <xdr:row>12</xdr:row>
      <xdr:rowOff>122465</xdr:rowOff>
    </xdr:from>
    <xdr:to>
      <xdr:col>3</xdr:col>
      <xdr:colOff>377784</xdr:colOff>
      <xdr:row>21</xdr:row>
      <xdr:rowOff>40203</xdr:rowOff>
    </xdr:to>
    <mc:AlternateContent xmlns:mc="http://schemas.openxmlformats.org/markup-compatibility/2006">
      <mc:Choice xmlns:a14="http://schemas.microsoft.com/office/drawing/2010/main" Requires="a14">
        <xdr:graphicFrame macro="">
          <xdr:nvGraphicFramePr>
            <xdr:cNvPr id="20"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367393" y="3001132"/>
              <a:ext cx="1851891" cy="1632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421822</xdr:colOff>
      <xdr:row>22</xdr:row>
      <xdr:rowOff>176893</xdr:rowOff>
    </xdr:from>
    <xdr:to>
      <xdr:col>3</xdr:col>
      <xdr:colOff>387928</xdr:colOff>
      <xdr:row>31</xdr:row>
      <xdr:rowOff>85107</xdr:rowOff>
    </xdr:to>
    <mc:AlternateContent xmlns:mc="http://schemas.openxmlformats.org/markup-compatibility/2006">
      <mc:Choice xmlns:a14="http://schemas.microsoft.com/office/drawing/2010/main" Requires="a14">
        <xdr:graphicFrame macro="">
          <xdr:nvGraphicFramePr>
            <xdr:cNvPr id="21"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21822" y="4960560"/>
              <a:ext cx="1807606" cy="1622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NAJIYA ALFAS" refreshedDate="46279.183371180552" createdVersion="6" refreshedVersion="6" minRefreshableVersion="3" recordCount="254">
  <cacheSource type="worksheet">
    <worksheetSource name="Table1"/>
  </cacheSource>
  <cacheFields count="10">
    <cacheField name="Order ID" numFmtId="164">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acheField>
    <cacheField name="Product" numFmtId="164">
      <sharedItems count="5">
        <s v="Fries"/>
        <s v="Beverages"/>
        <s v="Sides &amp; Other"/>
        <s v="Burgers"/>
        <s v="Chicken Sandwiches"/>
      </sharedItems>
    </cacheField>
    <cacheField name="Price" numFmtId="164">
      <sharedItems containsSemiMixedTypes="0" containsString="0" containsNumber="1" minValue="2.95" maxValue="29.05"/>
    </cacheField>
    <cacheField name="Quantity" numFmtId="1">
      <sharedItems containsSemiMixedTypes="0" containsString="0" containsNumber="1" minValue="200.4" maxValue="754.43"/>
    </cacheField>
    <cacheField name="Purchase Type" numFmtId="164">
      <sharedItems/>
    </cacheField>
    <cacheField name="Payment Method" numFmtId="164">
      <sharedItems count="3">
        <s v="Gift Card"/>
        <s v="Credit Card"/>
        <s v="Cash"/>
      </sharedItems>
    </cacheField>
    <cacheField name="Manager" numFmtId="164">
      <sharedItems count="5">
        <s v="Tom Jackson"/>
        <s v="Pablo Perez"/>
        <s v="Joao Silva"/>
        <s v="Walter Muller"/>
        <s v="Remy Monet"/>
      </sharedItems>
    </cacheField>
    <cacheField name="City" numFmtId="164">
      <sharedItems count="5">
        <s v="London"/>
        <s v="Madrid"/>
        <s v="Lisbon"/>
        <s v="Berlin"/>
        <s v="Paris"/>
      </sharedItems>
    </cacheField>
    <cacheField name="Total revenue" numFmtId="164">
      <sharedItems containsSemiMixedTypes="0" containsString="0" containsNumber="1" minValue="999.99600000000009" maxValue="16074.43499999999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4">
  <r>
    <n v="10452"/>
    <d v="2022-11-07T00:00:00"/>
    <x v="0"/>
    <n v="3.49"/>
    <n v="573.07000000000005"/>
    <s v="Online"/>
    <x v="0"/>
    <x v="0"/>
    <x v="0"/>
    <n v="2000.0143000000003"/>
  </r>
  <r>
    <n v="10453"/>
    <d v="2022-11-07T00:00:00"/>
    <x v="1"/>
    <n v="2.95"/>
    <n v="745.76"/>
    <s v="Online"/>
    <x v="0"/>
    <x v="1"/>
    <x v="1"/>
    <n v="2199.9920000000002"/>
  </r>
  <r>
    <n v="10454"/>
    <d v="2022-11-07T00:00:00"/>
    <x v="2"/>
    <n v="4.99"/>
    <n v="200.4"/>
    <s v="In-Store"/>
    <x v="0"/>
    <x v="2"/>
    <x v="2"/>
    <n v="999.99600000000009"/>
  </r>
  <r>
    <n v="10455"/>
    <d v="2022-11-08T00:00:00"/>
    <x v="3"/>
    <n v="12.99"/>
    <n v="569.66999999999996"/>
    <s v="In-Store"/>
    <x v="1"/>
    <x v="3"/>
    <x v="3"/>
    <n v="7400.0132999999996"/>
  </r>
  <r>
    <n v="10456"/>
    <d v="2022-11-08T00:00:00"/>
    <x v="4"/>
    <n v="9.9499999999999993"/>
    <n v="201.01"/>
    <s v="In-Store"/>
    <x v="1"/>
    <x v="3"/>
    <x v="3"/>
    <n v="2000.0494999999999"/>
  </r>
  <r>
    <n v="10457"/>
    <d v="2022-11-08T00:00:00"/>
    <x v="0"/>
    <n v="3.49"/>
    <n v="573.07000000000005"/>
    <s v="In-Store"/>
    <x v="1"/>
    <x v="4"/>
    <x v="4"/>
    <n v="2000.0143000000003"/>
  </r>
  <r>
    <n v="10459"/>
    <d v="2022-11-08T00:00:00"/>
    <x v="2"/>
    <n v="4.99"/>
    <n v="200.4"/>
    <s v="In-Store"/>
    <x v="1"/>
    <x v="3"/>
    <x v="3"/>
    <n v="999.99600000000009"/>
  </r>
  <r>
    <n v="10460"/>
    <d v="2022-11-09T00:00:00"/>
    <x v="3"/>
    <n v="12.99"/>
    <n v="554.27"/>
    <s v="In-Store"/>
    <x v="1"/>
    <x v="4"/>
    <x v="4"/>
    <n v="7199.9673000000003"/>
  </r>
  <r>
    <n v="10461"/>
    <d v="2022-11-09T00:00:00"/>
    <x v="4"/>
    <n v="9.9499999999999993"/>
    <n v="201.01"/>
    <s v="In-Store"/>
    <x v="1"/>
    <x v="4"/>
    <x v="4"/>
    <n v="2000.0494999999999"/>
  </r>
  <r>
    <n v="10462"/>
    <d v="2022-11-09T00:00:00"/>
    <x v="0"/>
    <n v="3.49"/>
    <n v="573.07000000000005"/>
    <s v="In-Store"/>
    <x v="1"/>
    <x v="4"/>
    <x v="4"/>
    <n v="2000.0143000000003"/>
  </r>
  <r>
    <n v="10463"/>
    <d v="2022-11-09T00:00:00"/>
    <x v="1"/>
    <n v="2.95"/>
    <n v="677.97"/>
    <s v="In-Store"/>
    <x v="1"/>
    <x v="4"/>
    <x v="4"/>
    <n v="2000.0115000000003"/>
  </r>
  <r>
    <n v="10464"/>
    <d v="2022-11-09T00:00:00"/>
    <x v="2"/>
    <n v="4.99"/>
    <n v="200.4"/>
    <s v="In-Store"/>
    <x v="1"/>
    <x v="4"/>
    <x v="4"/>
    <n v="999.99600000000009"/>
  </r>
  <r>
    <n v="10465"/>
    <d v="2022-11-10T00:00:00"/>
    <x v="3"/>
    <n v="12.99"/>
    <n v="554.27"/>
    <s v="In-Store"/>
    <x v="1"/>
    <x v="1"/>
    <x v="1"/>
    <n v="7199.9673000000003"/>
  </r>
  <r>
    <n v="10466"/>
    <d v="2022-11-10T00:00:00"/>
    <x v="4"/>
    <n v="9.9499999999999993"/>
    <n v="201.01"/>
    <s v="In-Store"/>
    <x v="1"/>
    <x v="1"/>
    <x v="1"/>
    <n v="2000.0494999999999"/>
  </r>
  <r>
    <n v="10467"/>
    <d v="2022-11-10T00:00:00"/>
    <x v="0"/>
    <n v="3.49"/>
    <n v="573.07000000000005"/>
    <s v="In-Store"/>
    <x v="1"/>
    <x v="1"/>
    <x v="1"/>
    <n v="2000.0143000000003"/>
  </r>
  <r>
    <n v="10468"/>
    <d v="2022-11-10T00:00:00"/>
    <x v="1"/>
    <n v="2.95"/>
    <n v="677.97"/>
    <s v="In-Store"/>
    <x v="1"/>
    <x v="1"/>
    <x v="1"/>
    <n v="2000.0115000000003"/>
  </r>
  <r>
    <n v="10470"/>
    <d v="2022-11-11T00:00:00"/>
    <x v="3"/>
    <n v="12.99"/>
    <n v="554.27"/>
    <s v="In-Store"/>
    <x v="1"/>
    <x v="1"/>
    <x v="1"/>
    <n v="7199.9673000000003"/>
  </r>
  <r>
    <n v="10471"/>
    <d v="2022-11-11T00:00:00"/>
    <x v="4"/>
    <n v="9.9499999999999993"/>
    <n v="201.01"/>
    <s v="In-Store"/>
    <x v="1"/>
    <x v="1"/>
    <x v="1"/>
    <n v="2000.0494999999999"/>
  </r>
  <r>
    <n v="10472"/>
    <d v="2022-11-11T00:00:00"/>
    <x v="0"/>
    <n v="3.49"/>
    <n v="630.37"/>
    <s v="In-Store"/>
    <x v="1"/>
    <x v="1"/>
    <x v="1"/>
    <n v="2199.9913000000001"/>
  </r>
  <r>
    <n v="10473"/>
    <d v="2022-11-11T00:00:00"/>
    <x v="1"/>
    <n v="2.95"/>
    <n v="677.97"/>
    <s v="In-Store"/>
    <x v="1"/>
    <x v="1"/>
    <x v="1"/>
    <n v="2000.0115000000003"/>
  </r>
  <r>
    <n v="10474"/>
    <d v="2022-11-11T00:00:00"/>
    <x v="2"/>
    <n v="4.99"/>
    <n v="200.4"/>
    <s v="In-Store"/>
    <x v="1"/>
    <x v="1"/>
    <x v="1"/>
    <n v="999.99600000000009"/>
  </r>
  <r>
    <n v="10475"/>
    <d v="2022-11-12T00:00:00"/>
    <x v="3"/>
    <n v="12.99"/>
    <n v="523.48"/>
    <s v="In-Store"/>
    <x v="1"/>
    <x v="1"/>
    <x v="1"/>
    <n v="6800.0052000000005"/>
  </r>
  <r>
    <n v="10476"/>
    <d v="2022-11-12T00:00:00"/>
    <x v="4"/>
    <n v="9.9499999999999993"/>
    <n v="201.01"/>
    <s v="In-Store"/>
    <x v="1"/>
    <x v="1"/>
    <x v="1"/>
    <n v="2000.0494999999999"/>
  </r>
  <r>
    <n v="10477"/>
    <d v="2022-11-12T00:00:00"/>
    <x v="0"/>
    <n v="3.49"/>
    <n v="630.37"/>
    <s v="In-Store"/>
    <x v="1"/>
    <x v="1"/>
    <x v="1"/>
    <n v="2199.9913000000001"/>
  </r>
  <r>
    <n v="10478"/>
    <d v="2022-11-12T00:00:00"/>
    <x v="1"/>
    <n v="2.95"/>
    <n v="677.97"/>
    <s v="In-Store"/>
    <x v="1"/>
    <x v="1"/>
    <x v="1"/>
    <n v="2000.0115000000003"/>
  </r>
  <r>
    <n v="10479"/>
    <d v="2022-11-12T00:00:00"/>
    <x v="2"/>
    <n v="4.99"/>
    <n v="200.4"/>
    <s v="In-Store"/>
    <x v="1"/>
    <x v="1"/>
    <x v="1"/>
    <n v="999.99600000000009"/>
  </r>
  <r>
    <n v="10480"/>
    <d v="2022-11-13T00:00:00"/>
    <x v="3"/>
    <n v="12.99"/>
    <n v="508.08"/>
    <s v="In-Store"/>
    <x v="1"/>
    <x v="1"/>
    <x v="1"/>
    <n v="6599.9592000000002"/>
  </r>
  <r>
    <n v="10481"/>
    <d v="2022-11-13T00:00:00"/>
    <x v="4"/>
    <n v="9.9499999999999993"/>
    <n v="201.01"/>
    <s v="In-Store"/>
    <x v="1"/>
    <x v="1"/>
    <x v="1"/>
    <n v="2000.0494999999999"/>
  </r>
  <r>
    <n v="10482"/>
    <d v="2022-11-13T00:00:00"/>
    <x v="0"/>
    <n v="25.5"/>
    <n v="630.37"/>
    <s v="In-Store"/>
    <x v="1"/>
    <x v="2"/>
    <x v="2"/>
    <n v="16074.434999999999"/>
  </r>
  <r>
    <n v="10486"/>
    <d v="2022-11-14T00:00:00"/>
    <x v="4"/>
    <n v="29.05"/>
    <n v="201.01"/>
    <s v="In-Store"/>
    <x v="1"/>
    <x v="2"/>
    <x v="2"/>
    <n v="5839.3405000000002"/>
  </r>
  <r>
    <n v="10487"/>
    <d v="2022-11-14T00:00:00"/>
    <x v="0"/>
    <n v="3.49"/>
    <n v="630.37"/>
    <s v="In-Store"/>
    <x v="1"/>
    <x v="2"/>
    <x v="2"/>
    <n v="2199.9913000000001"/>
  </r>
  <r>
    <n v="10488"/>
    <d v="2022-11-14T00:00:00"/>
    <x v="1"/>
    <n v="2.95"/>
    <n v="677.97"/>
    <s v="In-Store"/>
    <x v="1"/>
    <x v="2"/>
    <x v="2"/>
    <n v="2000.0115000000003"/>
  </r>
  <r>
    <n v="10489"/>
    <d v="2022-11-14T00:00:00"/>
    <x v="2"/>
    <n v="4.99"/>
    <n v="200.4"/>
    <s v="In-Store"/>
    <x v="1"/>
    <x v="1"/>
    <x v="1"/>
    <n v="999.99600000000009"/>
  </r>
  <r>
    <n v="10490"/>
    <d v="2022-11-15T00:00:00"/>
    <x v="3"/>
    <n v="12.99"/>
    <n v="508.08"/>
    <s v="In-Store"/>
    <x v="1"/>
    <x v="1"/>
    <x v="1"/>
    <n v="6599.9592000000002"/>
  </r>
  <r>
    <n v="10491"/>
    <d v="2022-11-15T00:00:00"/>
    <x v="4"/>
    <n v="9.9499999999999993"/>
    <n v="201.01"/>
    <s v="In-Store"/>
    <x v="1"/>
    <x v="1"/>
    <x v="1"/>
    <n v="2000.0494999999999"/>
  </r>
  <r>
    <n v="10492"/>
    <d v="2022-11-15T00:00:00"/>
    <x v="0"/>
    <n v="3.49"/>
    <n v="573.07000000000005"/>
    <s v="In-Store"/>
    <x v="1"/>
    <x v="1"/>
    <x v="1"/>
    <n v="2000.0143000000003"/>
  </r>
  <r>
    <n v="10493"/>
    <d v="2022-11-15T00:00:00"/>
    <x v="1"/>
    <n v="2.95"/>
    <n v="677.97"/>
    <s v="In-Store"/>
    <x v="1"/>
    <x v="1"/>
    <x v="1"/>
    <n v="2000.0115000000003"/>
  </r>
  <r>
    <n v="10494"/>
    <d v="2022-11-15T00:00:00"/>
    <x v="2"/>
    <n v="4.99"/>
    <n v="200.4"/>
    <s v="In-Store"/>
    <x v="1"/>
    <x v="1"/>
    <x v="1"/>
    <n v="999.99600000000009"/>
  </r>
  <r>
    <n v="10495"/>
    <d v="2022-11-16T00:00:00"/>
    <x v="3"/>
    <n v="12.99"/>
    <n v="508.08"/>
    <s v="In-Store"/>
    <x v="1"/>
    <x v="1"/>
    <x v="1"/>
    <n v="6599.9592000000002"/>
  </r>
  <r>
    <n v="10496"/>
    <d v="2022-11-16T00:00:00"/>
    <x v="4"/>
    <n v="9.9499999999999993"/>
    <n v="201.01"/>
    <s v="In-Store"/>
    <x v="1"/>
    <x v="1"/>
    <x v="1"/>
    <n v="2000.0494999999999"/>
  </r>
  <r>
    <n v="10497"/>
    <d v="2022-11-16T00:00:00"/>
    <x v="0"/>
    <n v="3.49"/>
    <n v="573.07000000000005"/>
    <s v="In-Store"/>
    <x v="1"/>
    <x v="1"/>
    <x v="1"/>
    <n v="2000.0143000000003"/>
  </r>
  <r>
    <n v="10498"/>
    <d v="2022-11-16T00:00:00"/>
    <x v="1"/>
    <n v="2.95"/>
    <n v="677.97"/>
    <s v="Drive-Thru"/>
    <x v="1"/>
    <x v="1"/>
    <x v="1"/>
    <n v="2000.0115000000003"/>
  </r>
  <r>
    <n v="10499"/>
    <d v="2022-11-16T00:00:00"/>
    <x v="2"/>
    <n v="4.99"/>
    <n v="200.4"/>
    <s v="Drive-Thru"/>
    <x v="1"/>
    <x v="1"/>
    <x v="1"/>
    <n v="999.99600000000009"/>
  </r>
  <r>
    <n v="10500"/>
    <d v="2022-11-17T00:00:00"/>
    <x v="3"/>
    <n v="12.99"/>
    <n v="523.48"/>
    <s v="Drive-Thru"/>
    <x v="1"/>
    <x v="1"/>
    <x v="1"/>
    <n v="6800.0052000000005"/>
  </r>
  <r>
    <n v="10501"/>
    <d v="2022-11-17T00:00:00"/>
    <x v="4"/>
    <n v="9.9499999999999993"/>
    <n v="201.01"/>
    <s v="Drive-Thru"/>
    <x v="1"/>
    <x v="1"/>
    <x v="1"/>
    <n v="2000.0494999999999"/>
  </r>
  <r>
    <n v="10502"/>
    <d v="2022-11-17T00:00:00"/>
    <x v="0"/>
    <n v="3.49"/>
    <n v="630.37"/>
    <s v="Drive-Thru"/>
    <x v="1"/>
    <x v="1"/>
    <x v="1"/>
    <n v="2199.9913000000001"/>
  </r>
  <r>
    <n v="10503"/>
    <d v="2022-11-17T00:00:00"/>
    <x v="1"/>
    <n v="2.95"/>
    <n v="677.97"/>
    <s v="Drive-Thru"/>
    <x v="1"/>
    <x v="1"/>
    <x v="1"/>
    <n v="2000.0115000000003"/>
  </r>
  <r>
    <n v="10504"/>
    <d v="2022-11-17T00:00:00"/>
    <x v="2"/>
    <n v="4.99"/>
    <n v="200.4"/>
    <s v="Drive-Thru"/>
    <x v="1"/>
    <x v="1"/>
    <x v="1"/>
    <n v="999.99600000000009"/>
  </r>
  <r>
    <n v="10505"/>
    <d v="2022-11-18T00:00:00"/>
    <x v="3"/>
    <n v="12.99"/>
    <n v="538.88"/>
    <s v="Drive-Thru"/>
    <x v="1"/>
    <x v="1"/>
    <x v="1"/>
    <n v="7000.0511999999999"/>
  </r>
  <r>
    <n v="10506"/>
    <d v="2022-11-18T00:00:00"/>
    <x v="4"/>
    <n v="9.9499999999999993"/>
    <n v="201.01"/>
    <s v="Drive-Thru"/>
    <x v="1"/>
    <x v="1"/>
    <x v="1"/>
    <n v="2000.0494999999999"/>
  </r>
  <r>
    <n v="10507"/>
    <d v="2022-11-18T00:00:00"/>
    <x v="0"/>
    <n v="3.49"/>
    <n v="687.68"/>
    <s v="Drive-Thru"/>
    <x v="1"/>
    <x v="1"/>
    <x v="1"/>
    <n v="2400.0032000000001"/>
  </r>
  <r>
    <n v="10508"/>
    <d v="2022-11-18T00:00:00"/>
    <x v="1"/>
    <n v="2.95"/>
    <n v="677.97"/>
    <s v="Drive-Thru"/>
    <x v="1"/>
    <x v="1"/>
    <x v="1"/>
    <n v="2000.0115000000003"/>
  </r>
  <r>
    <n v="10509"/>
    <d v="2022-11-18T00:00:00"/>
    <x v="2"/>
    <n v="4.99"/>
    <n v="200.4"/>
    <s v="Drive-Thru"/>
    <x v="1"/>
    <x v="1"/>
    <x v="1"/>
    <n v="999.99600000000009"/>
  </r>
  <r>
    <n v="10510"/>
    <d v="2022-11-19T00:00:00"/>
    <x v="3"/>
    <n v="12.99"/>
    <n v="508.08"/>
    <s v="Drive-Thru"/>
    <x v="1"/>
    <x v="1"/>
    <x v="1"/>
    <n v="6599.9592000000002"/>
  </r>
  <r>
    <n v="10511"/>
    <d v="2022-11-19T00:00:00"/>
    <x v="4"/>
    <n v="9.9499999999999993"/>
    <n v="201.01"/>
    <s v="Drive-Thru"/>
    <x v="1"/>
    <x v="2"/>
    <x v="2"/>
    <n v="2000.0494999999999"/>
  </r>
  <r>
    <n v="10512"/>
    <d v="2022-11-19T00:00:00"/>
    <x v="0"/>
    <n v="3.49"/>
    <n v="687.68"/>
    <s v="Drive-Thru"/>
    <x v="1"/>
    <x v="2"/>
    <x v="2"/>
    <n v="2400.0032000000001"/>
  </r>
  <r>
    <n v="10513"/>
    <d v="2022-11-19T00:00:00"/>
    <x v="1"/>
    <n v="2.95"/>
    <n v="677.97"/>
    <s v="Drive-Thru"/>
    <x v="2"/>
    <x v="2"/>
    <x v="2"/>
    <n v="2000.0115000000003"/>
  </r>
  <r>
    <n v="10514"/>
    <d v="2022-11-19T00:00:00"/>
    <x v="2"/>
    <n v="4.99"/>
    <n v="200.4"/>
    <s v="Drive-Thru"/>
    <x v="2"/>
    <x v="2"/>
    <x v="2"/>
    <n v="999.99600000000009"/>
  </r>
  <r>
    <n v="10515"/>
    <d v="2022-11-20T00:00:00"/>
    <x v="3"/>
    <n v="12.99"/>
    <n v="477.29"/>
    <s v="Drive-Thru"/>
    <x v="2"/>
    <x v="2"/>
    <x v="2"/>
    <n v="6199.9971000000005"/>
  </r>
  <r>
    <n v="10516"/>
    <d v="2022-11-20T00:00:00"/>
    <x v="4"/>
    <n v="9.9499999999999993"/>
    <n v="201.01"/>
    <s v="Drive-Thru"/>
    <x v="2"/>
    <x v="2"/>
    <x v="2"/>
    <n v="2000.0494999999999"/>
  </r>
  <r>
    <n v="10483"/>
    <d v="2022-11-13T00:00:00"/>
    <x v="1"/>
    <n v="2.95"/>
    <n v="677.97"/>
    <s v="In-Store"/>
    <x v="1"/>
    <x v="2"/>
    <x v="2"/>
    <n v="2000.0115000000003"/>
  </r>
  <r>
    <n v="10484"/>
    <d v="2022-11-13T00:00:00"/>
    <x v="2"/>
    <n v="4.99"/>
    <n v="200.4"/>
    <s v="In-Store"/>
    <x v="1"/>
    <x v="2"/>
    <x v="2"/>
    <n v="999.99600000000009"/>
  </r>
  <r>
    <n v="10485"/>
    <d v="2022-11-14T00:00:00"/>
    <x v="3"/>
    <n v="12.99"/>
    <n v="523.48"/>
    <s v="In-Store"/>
    <x v="1"/>
    <x v="2"/>
    <x v="2"/>
    <n v="6800.0052000000005"/>
  </r>
  <r>
    <n v="10520"/>
    <d v="2022-11-21T00:00:00"/>
    <x v="3"/>
    <n v="12.99"/>
    <n v="492.69"/>
    <s v="Drive-Thru"/>
    <x v="2"/>
    <x v="4"/>
    <x v="4"/>
    <n v="6400.0430999999999"/>
  </r>
  <r>
    <n v="10521"/>
    <d v="2022-11-21T00:00:00"/>
    <x v="4"/>
    <n v="9.9499999999999993"/>
    <n v="201.01"/>
    <s v="Drive-Thru"/>
    <x v="2"/>
    <x v="4"/>
    <x v="4"/>
    <n v="2000.0494999999999"/>
  </r>
  <r>
    <n v="10522"/>
    <d v="2022-11-21T00:00:00"/>
    <x v="0"/>
    <n v="3.49"/>
    <n v="687.68"/>
    <s v="Drive-Thru"/>
    <x v="2"/>
    <x v="4"/>
    <x v="4"/>
    <n v="2400.0032000000001"/>
  </r>
  <r>
    <n v="10523"/>
    <d v="2022-11-21T00:00:00"/>
    <x v="1"/>
    <n v="2.95"/>
    <n v="745.76"/>
    <s v="Drive-Thru"/>
    <x v="2"/>
    <x v="4"/>
    <x v="4"/>
    <n v="2199.9920000000002"/>
  </r>
  <r>
    <n v="10524"/>
    <d v="2022-11-21T00:00:00"/>
    <x v="2"/>
    <n v="4.99"/>
    <n v="200.4"/>
    <s v="Drive-Thru"/>
    <x v="2"/>
    <x v="4"/>
    <x v="4"/>
    <n v="999.99600000000009"/>
  </r>
  <r>
    <n v="10525"/>
    <d v="2022-11-22T00:00:00"/>
    <x v="3"/>
    <n v="12.99"/>
    <n v="461.89"/>
    <s v="Drive-Thru"/>
    <x v="2"/>
    <x v="4"/>
    <x v="4"/>
    <n v="5999.9511000000002"/>
  </r>
  <r>
    <n v="10526"/>
    <d v="2022-11-22T00:00:00"/>
    <x v="4"/>
    <n v="9.9499999999999993"/>
    <n v="201.01"/>
    <s v="Drive-Thru"/>
    <x v="2"/>
    <x v="4"/>
    <x v="4"/>
    <n v="2000.0494999999999"/>
  </r>
  <r>
    <n v="10527"/>
    <d v="2022-11-22T00:00:00"/>
    <x v="0"/>
    <n v="3.49"/>
    <n v="687.68"/>
    <s v="Drive-Thru"/>
    <x v="2"/>
    <x v="4"/>
    <x v="4"/>
    <n v="2400.0032000000001"/>
  </r>
  <r>
    <n v="10528"/>
    <d v="2022-11-22T00:00:00"/>
    <x v="1"/>
    <n v="2.95"/>
    <n v="745.76"/>
    <s v="Drive-Thru"/>
    <x v="2"/>
    <x v="4"/>
    <x v="4"/>
    <n v="2199.9920000000002"/>
  </r>
  <r>
    <n v="10529"/>
    <d v="2022-11-22T00:00:00"/>
    <x v="2"/>
    <n v="4.99"/>
    <n v="200.4"/>
    <s v="Drive-Thru"/>
    <x v="2"/>
    <x v="4"/>
    <x v="4"/>
    <n v="999.99600000000009"/>
  </r>
  <r>
    <n v="10530"/>
    <d v="2022-11-23T00:00:00"/>
    <x v="3"/>
    <n v="12.99"/>
    <n v="477.29"/>
    <s v="Drive-Thru"/>
    <x v="2"/>
    <x v="4"/>
    <x v="4"/>
    <n v="6199.9971000000005"/>
  </r>
  <r>
    <n v="10531"/>
    <d v="2022-11-23T00:00:00"/>
    <x v="4"/>
    <n v="9.9499999999999993"/>
    <n v="201.01"/>
    <s v="Drive-Thru"/>
    <x v="2"/>
    <x v="4"/>
    <x v="4"/>
    <n v="2000.0494999999999"/>
  </r>
  <r>
    <n v="10532"/>
    <d v="2022-11-23T00:00:00"/>
    <x v="0"/>
    <n v="3.49"/>
    <n v="687.68"/>
    <s v="Drive-Thru"/>
    <x v="2"/>
    <x v="2"/>
    <x v="2"/>
    <n v="2400.0032000000001"/>
  </r>
  <r>
    <n v="10533"/>
    <d v="2022-11-23T00:00:00"/>
    <x v="1"/>
    <n v="2.95"/>
    <n v="745.76"/>
    <s v="Drive-Thru"/>
    <x v="2"/>
    <x v="2"/>
    <x v="2"/>
    <n v="2199.9920000000002"/>
  </r>
  <r>
    <n v="10534"/>
    <d v="2022-11-23T00:00:00"/>
    <x v="2"/>
    <n v="4.99"/>
    <n v="200.4"/>
    <s v="Drive-Thru"/>
    <x v="2"/>
    <x v="1"/>
    <x v="1"/>
    <n v="999.99600000000009"/>
  </r>
  <r>
    <n v="10535"/>
    <d v="2022-11-24T00:00:00"/>
    <x v="3"/>
    <n v="12.99"/>
    <n v="477.29"/>
    <s v="Drive-Thru"/>
    <x v="1"/>
    <x v="1"/>
    <x v="1"/>
    <n v="6199.9971000000005"/>
  </r>
  <r>
    <n v="10536"/>
    <d v="2022-11-24T00:00:00"/>
    <x v="4"/>
    <n v="9.9499999999999993"/>
    <n v="201.01"/>
    <s v="Drive-Thru"/>
    <x v="1"/>
    <x v="1"/>
    <x v="1"/>
    <n v="2000.0494999999999"/>
  </r>
  <r>
    <n v="10540"/>
    <d v="2022-11-25T00:00:00"/>
    <x v="3"/>
    <n v="12.99"/>
    <n v="461.89"/>
    <s v="Drive-Thru"/>
    <x v="1"/>
    <x v="1"/>
    <x v="1"/>
    <n v="5999.9511000000002"/>
  </r>
  <r>
    <n v="10541"/>
    <d v="2022-11-25T00:00:00"/>
    <x v="4"/>
    <n v="9.9499999999999993"/>
    <n v="201.01"/>
    <s v="Drive-Thru"/>
    <x v="1"/>
    <x v="0"/>
    <x v="0"/>
    <n v="2000.0494999999999"/>
  </r>
  <r>
    <n v="10542"/>
    <d v="2022-11-25T00:00:00"/>
    <x v="0"/>
    <n v="3.49"/>
    <n v="630.37"/>
    <s v="Drive-Thru"/>
    <x v="1"/>
    <x v="0"/>
    <x v="0"/>
    <n v="2199.9913000000001"/>
  </r>
  <r>
    <n v="10543"/>
    <d v="2022-11-25T00:00:00"/>
    <x v="1"/>
    <n v="2.95"/>
    <n v="745.76"/>
    <s v="Drive-Thru"/>
    <x v="1"/>
    <x v="0"/>
    <x v="0"/>
    <n v="2199.9920000000002"/>
  </r>
  <r>
    <n v="10544"/>
    <d v="2022-11-25T00:00:00"/>
    <x v="2"/>
    <n v="4.99"/>
    <n v="200.4"/>
    <s v="Drive-Thru"/>
    <x v="1"/>
    <x v="0"/>
    <x v="0"/>
    <n v="999.99600000000009"/>
  </r>
  <r>
    <n v="10545"/>
    <d v="2022-11-26T00:00:00"/>
    <x v="3"/>
    <n v="12.99"/>
    <n v="446.5"/>
    <s v="Drive-Thru"/>
    <x v="1"/>
    <x v="0"/>
    <x v="0"/>
    <n v="5800.0349999999999"/>
  </r>
  <r>
    <n v="10546"/>
    <d v="2022-11-26T00:00:00"/>
    <x v="4"/>
    <n v="9.9499999999999993"/>
    <n v="201.01"/>
    <s v="Drive-Thru"/>
    <x v="1"/>
    <x v="0"/>
    <x v="0"/>
    <n v="2000.0494999999999"/>
  </r>
  <r>
    <n v="10547"/>
    <d v="2022-11-26T00:00:00"/>
    <x v="0"/>
    <n v="3.49"/>
    <n v="630.37"/>
    <s v="Drive-Thru"/>
    <x v="1"/>
    <x v="0"/>
    <x v="0"/>
    <n v="2199.9913000000001"/>
  </r>
  <r>
    <n v="10548"/>
    <d v="2022-11-26T00:00:00"/>
    <x v="1"/>
    <n v="2.95"/>
    <n v="745.76"/>
    <s v="Drive-Thru"/>
    <x v="1"/>
    <x v="0"/>
    <x v="0"/>
    <n v="2199.9920000000002"/>
  </r>
  <r>
    <n v="10549"/>
    <d v="2022-11-26T00:00:00"/>
    <x v="2"/>
    <n v="4.99"/>
    <n v="200.4"/>
    <s v="Drive-Thru"/>
    <x v="1"/>
    <x v="0"/>
    <x v="0"/>
    <n v="999.99600000000009"/>
  </r>
  <r>
    <n v="10550"/>
    <d v="2022-11-27T00:00:00"/>
    <x v="3"/>
    <n v="12.99"/>
    <n v="461.89"/>
    <s v="Drive-Thru"/>
    <x v="1"/>
    <x v="0"/>
    <x v="0"/>
    <n v="5999.9511000000002"/>
  </r>
  <r>
    <n v="10551"/>
    <d v="2022-11-27T00:00:00"/>
    <x v="4"/>
    <n v="9.9499999999999993"/>
    <n v="201.01"/>
    <s v="Drive-Thru"/>
    <x v="1"/>
    <x v="0"/>
    <x v="0"/>
    <n v="2000.0494999999999"/>
  </r>
  <r>
    <n v="10552"/>
    <d v="2022-11-27T00:00:00"/>
    <x v="0"/>
    <n v="3.49"/>
    <n v="630.37"/>
    <s v="Online"/>
    <x v="1"/>
    <x v="0"/>
    <x v="0"/>
    <n v="2199.9913000000001"/>
  </r>
  <r>
    <n v="10553"/>
    <d v="2022-11-27T00:00:00"/>
    <x v="1"/>
    <n v="2.95"/>
    <n v="745.76"/>
    <s v="Online"/>
    <x v="1"/>
    <x v="0"/>
    <x v="0"/>
    <n v="2199.9920000000002"/>
  </r>
  <r>
    <n v="10554"/>
    <d v="2022-11-27T00:00:00"/>
    <x v="2"/>
    <n v="4.99"/>
    <n v="200.4"/>
    <s v="Online"/>
    <x v="1"/>
    <x v="0"/>
    <x v="0"/>
    <n v="999.99600000000009"/>
  </r>
  <r>
    <n v="10555"/>
    <d v="2022-11-28T00:00:00"/>
    <x v="3"/>
    <n v="12.99"/>
    <n v="477.29"/>
    <s v="Online"/>
    <x v="1"/>
    <x v="0"/>
    <x v="0"/>
    <n v="6199.9971000000005"/>
  </r>
  <r>
    <n v="10556"/>
    <d v="2022-11-28T00:00:00"/>
    <x v="4"/>
    <n v="9.9499999999999993"/>
    <n v="201.01"/>
    <s v="Online"/>
    <x v="1"/>
    <x v="0"/>
    <x v="0"/>
    <n v="2000.0494999999999"/>
  </r>
  <r>
    <n v="10557"/>
    <d v="2022-11-28T00:00:00"/>
    <x v="0"/>
    <n v="3.49"/>
    <n v="630.37"/>
    <s v="Online"/>
    <x v="1"/>
    <x v="0"/>
    <x v="0"/>
    <n v="2199.9913000000001"/>
  </r>
  <r>
    <n v="10558"/>
    <d v="2022-11-28T00:00:00"/>
    <x v="1"/>
    <n v="2.95"/>
    <n v="677.97"/>
    <s v="Online"/>
    <x v="1"/>
    <x v="0"/>
    <x v="0"/>
    <n v="2000.0115000000003"/>
  </r>
  <r>
    <n v="10559"/>
    <d v="2022-11-28T00:00:00"/>
    <x v="2"/>
    <n v="4.99"/>
    <n v="200.4"/>
    <s v="Online"/>
    <x v="1"/>
    <x v="0"/>
    <x v="0"/>
    <n v="999.99600000000009"/>
  </r>
  <r>
    <n v="10560"/>
    <d v="2022-11-29T00:00:00"/>
    <x v="3"/>
    <n v="12.99"/>
    <n v="477.29"/>
    <s v="Online"/>
    <x v="1"/>
    <x v="0"/>
    <x v="0"/>
    <n v="6199.9971000000005"/>
  </r>
  <r>
    <n v="10561"/>
    <d v="2022-11-29T00:00:00"/>
    <x v="4"/>
    <n v="9.9499999999999993"/>
    <n v="201.01"/>
    <s v="Online"/>
    <x v="1"/>
    <x v="0"/>
    <x v="0"/>
    <n v="2000.0494999999999"/>
  </r>
  <r>
    <n v="10562"/>
    <d v="2022-11-29T00:00:00"/>
    <x v="0"/>
    <n v="3.49"/>
    <n v="630.37"/>
    <s v="Online"/>
    <x v="1"/>
    <x v="0"/>
    <x v="0"/>
    <n v="2199.9913000000001"/>
  </r>
  <r>
    <n v="10563"/>
    <d v="2022-11-29T00:00:00"/>
    <x v="1"/>
    <n v="2.95"/>
    <n v="677.97"/>
    <s v="Online"/>
    <x v="1"/>
    <x v="0"/>
    <x v="0"/>
    <n v="2000.0115000000003"/>
  </r>
  <r>
    <n v="10564"/>
    <d v="2022-11-29T00:00:00"/>
    <x v="2"/>
    <n v="4.99"/>
    <n v="200.4"/>
    <s v="Online"/>
    <x v="1"/>
    <x v="0"/>
    <x v="0"/>
    <n v="999.99600000000009"/>
  </r>
  <r>
    <n v="10565"/>
    <d v="2022-11-30T00:00:00"/>
    <x v="3"/>
    <n v="12.99"/>
    <n v="492.69"/>
    <s v="Online"/>
    <x v="1"/>
    <x v="0"/>
    <x v="0"/>
    <n v="6400.0430999999999"/>
  </r>
  <r>
    <n v="10566"/>
    <d v="2022-11-30T00:00:00"/>
    <x v="4"/>
    <n v="9.9499999999999993"/>
    <n v="201.01"/>
    <s v="Online"/>
    <x v="1"/>
    <x v="0"/>
    <x v="0"/>
    <n v="2000.0494999999999"/>
  </r>
  <r>
    <n v="10567"/>
    <d v="2022-11-30T00:00:00"/>
    <x v="0"/>
    <n v="3.49"/>
    <n v="630.37"/>
    <s v="Online"/>
    <x v="1"/>
    <x v="0"/>
    <x v="0"/>
    <n v="2199.9913000000001"/>
  </r>
  <r>
    <n v="10568"/>
    <d v="2022-11-30T00:00:00"/>
    <x v="1"/>
    <n v="2.95"/>
    <n v="677.97"/>
    <s v="Online"/>
    <x v="1"/>
    <x v="0"/>
    <x v="0"/>
    <n v="2000.0115000000003"/>
  </r>
  <r>
    <n v="10569"/>
    <d v="2022-11-30T00:00:00"/>
    <x v="2"/>
    <n v="4.99"/>
    <n v="200.4"/>
    <s v="Online"/>
    <x v="1"/>
    <x v="0"/>
    <x v="0"/>
    <n v="999.99600000000009"/>
  </r>
  <r>
    <n v="10570"/>
    <d v="2022-12-01T00:00:00"/>
    <x v="3"/>
    <n v="12.99"/>
    <n v="492.69"/>
    <s v="Online"/>
    <x v="1"/>
    <x v="0"/>
    <x v="0"/>
    <n v="6400.0430999999999"/>
  </r>
  <r>
    <n v="10571"/>
    <d v="2022-12-01T00:00:00"/>
    <x v="4"/>
    <n v="9.9499999999999993"/>
    <n v="201.01"/>
    <s v="Online"/>
    <x v="1"/>
    <x v="0"/>
    <x v="0"/>
    <n v="2000.0494999999999"/>
  </r>
  <r>
    <n v="10572"/>
    <d v="2022-12-01T00:00:00"/>
    <x v="0"/>
    <n v="3.49"/>
    <n v="573.07000000000005"/>
    <s v="Online"/>
    <x v="1"/>
    <x v="4"/>
    <x v="4"/>
    <n v="2000.0143000000003"/>
  </r>
  <r>
    <n v="10573"/>
    <d v="2022-12-01T00:00:00"/>
    <x v="1"/>
    <n v="2.95"/>
    <n v="677.97"/>
    <s v="Online"/>
    <x v="1"/>
    <x v="4"/>
    <x v="4"/>
    <n v="2000.0115000000003"/>
  </r>
  <r>
    <n v="10574"/>
    <d v="2022-12-01T00:00:00"/>
    <x v="2"/>
    <n v="4.99"/>
    <n v="200.4"/>
    <s v="Online"/>
    <x v="1"/>
    <x v="4"/>
    <x v="4"/>
    <n v="999.99600000000009"/>
  </r>
  <r>
    <n v="10575"/>
    <d v="2022-12-02T00:00:00"/>
    <x v="3"/>
    <n v="12.99"/>
    <n v="523.48"/>
    <s v="Online"/>
    <x v="1"/>
    <x v="4"/>
    <x v="4"/>
    <n v="6800.0052000000005"/>
  </r>
  <r>
    <n v="10576"/>
    <d v="2022-12-02T00:00:00"/>
    <x v="4"/>
    <n v="9.9499999999999993"/>
    <n v="201.01"/>
    <s v="Online"/>
    <x v="1"/>
    <x v="4"/>
    <x v="4"/>
    <n v="2000.0494999999999"/>
  </r>
  <r>
    <n v="10577"/>
    <d v="2022-12-02T00:00:00"/>
    <x v="0"/>
    <n v="3.49"/>
    <n v="630.37"/>
    <s v="Online"/>
    <x v="1"/>
    <x v="4"/>
    <x v="4"/>
    <n v="2199.9913000000001"/>
  </r>
  <r>
    <n v="10578"/>
    <d v="2022-12-02T00:00:00"/>
    <x v="1"/>
    <n v="2.95"/>
    <n v="677.97"/>
    <s v="Online"/>
    <x v="1"/>
    <x v="4"/>
    <x v="4"/>
    <n v="2000.0115000000003"/>
  </r>
  <r>
    <n v="10579"/>
    <d v="2022-12-02T00:00:00"/>
    <x v="2"/>
    <n v="4.99"/>
    <n v="200.4"/>
    <s v="Online"/>
    <x v="1"/>
    <x v="4"/>
    <x v="4"/>
    <n v="999.99600000000009"/>
  </r>
  <r>
    <n v="10580"/>
    <d v="2022-12-03T00:00:00"/>
    <x v="3"/>
    <n v="12.99"/>
    <n v="523.48"/>
    <s v="Online"/>
    <x v="1"/>
    <x v="4"/>
    <x v="4"/>
    <n v="6800.0052000000005"/>
  </r>
  <r>
    <n v="10581"/>
    <d v="2022-12-03T00:00:00"/>
    <x v="4"/>
    <n v="9.9499999999999993"/>
    <n v="201.01"/>
    <s v="Online"/>
    <x v="1"/>
    <x v="4"/>
    <x v="4"/>
    <n v="2000.0494999999999"/>
  </r>
  <r>
    <n v="10582"/>
    <d v="2022-12-03T00:00:00"/>
    <x v="0"/>
    <n v="3.49"/>
    <n v="630.37"/>
    <s v="Online"/>
    <x v="1"/>
    <x v="0"/>
    <x v="0"/>
    <n v="2199.9913000000001"/>
  </r>
  <r>
    <n v="10583"/>
    <d v="2022-12-03T00:00:00"/>
    <x v="1"/>
    <n v="2.95"/>
    <n v="677.97"/>
    <s v="Online"/>
    <x v="1"/>
    <x v="0"/>
    <x v="0"/>
    <n v="2000.0115000000003"/>
  </r>
  <r>
    <n v="10584"/>
    <d v="2022-12-03T00:00:00"/>
    <x v="2"/>
    <n v="4.99"/>
    <n v="200.4"/>
    <s v="Online"/>
    <x v="1"/>
    <x v="0"/>
    <x v="0"/>
    <n v="999.99600000000009"/>
  </r>
  <r>
    <n v="10585"/>
    <d v="2022-12-04T00:00:00"/>
    <x v="3"/>
    <n v="12.99"/>
    <n v="538.88"/>
    <s v="Online"/>
    <x v="1"/>
    <x v="0"/>
    <x v="0"/>
    <n v="7000.0511999999999"/>
  </r>
  <r>
    <n v="10586"/>
    <d v="2022-12-04T00:00:00"/>
    <x v="4"/>
    <n v="9.9499999999999993"/>
    <n v="201.01"/>
    <s v="Online"/>
    <x v="1"/>
    <x v="0"/>
    <x v="0"/>
    <n v="2000.0494999999999"/>
  </r>
  <r>
    <n v="10537"/>
    <d v="2022-11-24T00:00:00"/>
    <x v="0"/>
    <n v="3.49"/>
    <n v="630.37"/>
    <s v="Drive-Thru"/>
    <x v="1"/>
    <x v="1"/>
    <x v="1"/>
    <n v="2199.9913000000001"/>
  </r>
  <r>
    <n v="10538"/>
    <d v="2022-11-24T00:00:00"/>
    <x v="1"/>
    <n v="2.95"/>
    <n v="745.76"/>
    <s v="Drive-Thru"/>
    <x v="1"/>
    <x v="1"/>
    <x v="1"/>
    <n v="2199.9920000000002"/>
  </r>
  <r>
    <n v="10539"/>
    <d v="2022-11-24T00:00:00"/>
    <x v="2"/>
    <n v="4.99"/>
    <n v="200.4"/>
    <s v="Drive-Thru"/>
    <x v="1"/>
    <x v="1"/>
    <x v="1"/>
    <n v="999.99600000000009"/>
  </r>
  <r>
    <n v="10590"/>
    <d v="2022-12-05T00:00:00"/>
    <x v="3"/>
    <n v="12.99"/>
    <n v="554.27"/>
    <s v="Online"/>
    <x v="1"/>
    <x v="0"/>
    <x v="0"/>
    <n v="7199.9673000000003"/>
  </r>
  <r>
    <n v="10591"/>
    <d v="2022-12-05T00:00:00"/>
    <x v="4"/>
    <n v="9.9499999999999993"/>
    <n v="201.01"/>
    <s v="Online"/>
    <x v="1"/>
    <x v="0"/>
    <x v="0"/>
    <n v="2000.0494999999999"/>
  </r>
  <r>
    <n v="10592"/>
    <d v="2022-12-05T00:00:00"/>
    <x v="0"/>
    <n v="3.49"/>
    <n v="573.07000000000005"/>
    <s v="Online"/>
    <x v="1"/>
    <x v="0"/>
    <x v="0"/>
    <n v="2000.0143000000003"/>
  </r>
  <r>
    <n v="10593"/>
    <d v="2022-12-05T00:00:00"/>
    <x v="1"/>
    <n v="2.95"/>
    <n v="677.97"/>
    <s v="Online"/>
    <x v="1"/>
    <x v="0"/>
    <x v="0"/>
    <n v="2000.0115000000003"/>
  </r>
  <r>
    <n v="10594"/>
    <d v="2022-12-05T00:00:00"/>
    <x v="2"/>
    <n v="4.99"/>
    <n v="200.4"/>
    <s v="Online"/>
    <x v="1"/>
    <x v="0"/>
    <x v="0"/>
    <n v="999.99600000000009"/>
  </r>
  <r>
    <n v="10595"/>
    <d v="2022-12-06T00:00:00"/>
    <x v="3"/>
    <n v="12.99"/>
    <n v="538.88"/>
    <s v="Online"/>
    <x v="1"/>
    <x v="0"/>
    <x v="0"/>
    <n v="7000.0511999999999"/>
  </r>
  <r>
    <n v="10596"/>
    <d v="2022-12-06T00:00:00"/>
    <x v="4"/>
    <n v="9.9499999999999993"/>
    <n v="201.01"/>
    <s v="Online"/>
    <x v="1"/>
    <x v="0"/>
    <x v="0"/>
    <n v="2000.0494999999999"/>
  </r>
  <r>
    <n v="10597"/>
    <d v="2022-12-06T00:00:00"/>
    <x v="0"/>
    <n v="3.49"/>
    <n v="573.07000000000005"/>
    <s v="Online"/>
    <x v="1"/>
    <x v="0"/>
    <x v="0"/>
    <n v="2000.0143000000003"/>
  </r>
  <r>
    <n v="10598"/>
    <d v="2022-12-06T00:00:00"/>
    <x v="1"/>
    <n v="2.95"/>
    <n v="677.97"/>
    <s v="Online"/>
    <x v="1"/>
    <x v="0"/>
    <x v="0"/>
    <n v="2000.0115000000003"/>
  </r>
  <r>
    <n v="10599"/>
    <d v="2022-12-06T00:00:00"/>
    <x v="2"/>
    <n v="4.99"/>
    <n v="200.4"/>
    <s v="Online"/>
    <x v="1"/>
    <x v="0"/>
    <x v="0"/>
    <n v="999.99600000000009"/>
  </r>
  <r>
    <n v="10600"/>
    <d v="2022-12-07T00:00:00"/>
    <x v="3"/>
    <n v="12.99"/>
    <n v="523.48"/>
    <s v="Online"/>
    <x v="1"/>
    <x v="0"/>
    <x v="0"/>
    <n v="6800.0052000000005"/>
  </r>
  <r>
    <n v="10601"/>
    <d v="2022-12-07T00:00:00"/>
    <x v="4"/>
    <n v="9.9499999999999993"/>
    <n v="201.01"/>
    <s v="Online"/>
    <x v="1"/>
    <x v="0"/>
    <x v="0"/>
    <n v="2000.0494999999999"/>
  </r>
  <r>
    <n v="10602"/>
    <d v="2022-12-07T00:00:00"/>
    <x v="0"/>
    <n v="3.49"/>
    <n v="630.37"/>
    <s v="Online"/>
    <x v="2"/>
    <x v="0"/>
    <x v="0"/>
    <n v="2199.9913000000001"/>
  </r>
  <r>
    <n v="10603"/>
    <d v="2022-12-07T00:00:00"/>
    <x v="1"/>
    <n v="2.95"/>
    <n v="677.97"/>
    <s v="Online"/>
    <x v="2"/>
    <x v="0"/>
    <x v="0"/>
    <n v="2000.0115000000003"/>
  </r>
  <r>
    <n v="10604"/>
    <d v="2022-12-07T00:00:00"/>
    <x v="2"/>
    <n v="4.99"/>
    <n v="200.4"/>
    <s v="Online"/>
    <x v="2"/>
    <x v="0"/>
    <x v="0"/>
    <n v="999.99600000000009"/>
  </r>
  <r>
    <n v="10605"/>
    <d v="2022-12-08T00:00:00"/>
    <x v="3"/>
    <n v="12.99"/>
    <n v="538.88"/>
    <s v="Online"/>
    <x v="2"/>
    <x v="0"/>
    <x v="0"/>
    <n v="7000.0511999999999"/>
  </r>
  <r>
    <n v="10606"/>
    <d v="2022-12-08T00:00:00"/>
    <x v="4"/>
    <n v="9.9499999999999993"/>
    <n v="201.01"/>
    <s v="Online"/>
    <x v="2"/>
    <x v="0"/>
    <x v="0"/>
    <n v="2000.0494999999999"/>
  </r>
  <r>
    <n v="10607"/>
    <d v="2022-12-08T00:00:00"/>
    <x v="0"/>
    <n v="3.49"/>
    <n v="630.37"/>
    <s v="Online"/>
    <x v="2"/>
    <x v="0"/>
    <x v="0"/>
    <n v="2199.9913000000001"/>
  </r>
  <r>
    <n v="10608"/>
    <d v="2022-12-08T00:00:00"/>
    <x v="1"/>
    <n v="2.95"/>
    <n v="677.97"/>
    <s v="Online"/>
    <x v="0"/>
    <x v="0"/>
    <x v="0"/>
    <n v="2000.0115000000003"/>
  </r>
  <r>
    <n v="10609"/>
    <d v="2022-12-08T00:00:00"/>
    <x v="2"/>
    <n v="4.99"/>
    <n v="200.4"/>
    <s v="Online"/>
    <x v="0"/>
    <x v="0"/>
    <x v="0"/>
    <n v="999.99600000000009"/>
  </r>
  <r>
    <n v="10610"/>
    <d v="2022-12-09T00:00:00"/>
    <x v="3"/>
    <n v="12.99"/>
    <n v="569.66999999999996"/>
    <s v="Online"/>
    <x v="0"/>
    <x v="0"/>
    <x v="0"/>
    <n v="7400.0132999999996"/>
  </r>
  <r>
    <n v="10611"/>
    <d v="2022-12-09T00:00:00"/>
    <x v="4"/>
    <n v="9.9499999999999993"/>
    <n v="201.01"/>
    <s v="Online"/>
    <x v="0"/>
    <x v="0"/>
    <x v="0"/>
    <n v="2000.0494999999999"/>
  </r>
  <r>
    <n v="10612"/>
    <d v="2022-12-09T00:00:00"/>
    <x v="0"/>
    <n v="3.49"/>
    <n v="630.37"/>
    <s v="Online"/>
    <x v="0"/>
    <x v="0"/>
    <x v="0"/>
    <n v="2199.9913000000001"/>
  </r>
  <r>
    <n v="10613"/>
    <d v="2022-12-09T00:00:00"/>
    <x v="1"/>
    <n v="2.95"/>
    <n v="677.97"/>
    <s v="Online"/>
    <x v="0"/>
    <x v="0"/>
    <x v="0"/>
    <n v="2000.0115000000003"/>
  </r>
  <r>
    <n v="10614"/>
    <d v="2022-12-09T00:00:00"/>
    <x v="2"/>
    <n v="4.99"/>
    <n v="200.4"/>
    <s v="Online"/>
    <x v="0"/>
    <x v="0"/>
    <x v="0"/>
    <n v="999.99600000000009"/>
  </r>
  <r>
    <n v="10615"/>
    <d v="2022-12-10T00:00:00"/>
    <x v="3"/>
    <n v="12.99"/>
    <n v="569.66999999999996"/>
    <s v="Online"/>
    <x v="0"/>
    <x v="0"/>
    <x v="0"/>
    <n v="7400.0132999999996"/>
  </r>
  <r>
    <n v="10616"/>
    <d v="2022-12-10T00:00:00"/>
    <x v="4"/>
    <n v="9.9499999999999993"/>
    <n v="201.01"/>
    <s v="Online"/>
    <x v="0"/>
    <x v="0"/>
    <x v="0"/>
    <n v="2000.0494999999999"/>
  </r>
  <r>
    <n v="10617"/>
    <d v="2022-12-10T00:00:00"/>
    <x v="0"/>
    <n v="3.49"/>
    <n v="630.37"/>
    <s v="Online"/>
    <x v="0"/>
    <x v="0"/>
    <x v="0"/>
    <n v="2199.9913000000001"/>
  </r>
  <r>
    <n v="10618"/>
    <d v="2022-12-10T00:00:00"/>
    <x v="1"/>
    <n v="2.95"/>
    <n v="677.97"/>
    <s v="Online"/>
    <x v="0"/>
    <x v="0"/>
    <x v="0"/>
    <n v="2000.0115000000003"/>
  </r>
  <r>
    <n v="10619"/>
    <d v="2022-12-10T00:00:00"/>
    <x v="2"/>
    <n v="4.99"/>
    <n v="200.4"/>
    <s v="Online"/>
    <x v="0"/>
    <x v="0"/>
    <x v="0"/>
    <n v="999.99600000000009"/>
  </r>
  <r>
    <n v="10620"/>
    <d v="2022-12-11T00:00:00"/>
    <x v="3"/>
    <n v="12.99"/>
    <n v="585.07000000000005"/>
    <s v="Online"/>
    <x v="0"/>
    <x v="0"/>
    <x v="0"/>
    <n v="7600.0593000000008"/>
  </r>
  <r>
    <n v="10621"/>
    <d v="2022-12-11T00:00:00"/>
    <x v="4"/>
    <n v="9.9499999999999993"/>
    <n v="201.01"/>
    <s v="Online"/>
    <x v="0"/>
    <x v="0"/>
    <x v="0"/>
    <n v="2000.0494999999999"/>
  </r>
  <r>
    <n v="10622"/>
    <d v="2022-12-11T00:00:00"/>
    <x v="0"/>
    <n v="3.49"/>
    <n v="630.37"/>
    <s v="Online"/>
    <x v="0"/>
    <x v="0"/>
    <x v="0"/>
    <n v="2199.9913000000001"/>
  </r>
  <r>
    <n v="10623"/>
    <d v="2022-12-11T00:00:00"/>
    <x v="1"/>
    <n v="2.95"/>
    <n v="745.76"/>
    <s v="Online"/>
    <x v="0"/>
    <x v="0"/>
    <x v="0"/>
    <n v="2199.9920000000002"/>
  </r>
  <r>
    <n v="10624"/>
    <d v="2022-12-11T00:00:00"/>
    <x v="2"/>
    <n v="4.99"/>
    <n v="200.4"/>
    <s v="Online"/>
    <x v="0"/>
    <x v="0"/>
    <x v="0"/>
    <n v="999.99600000000009"/>
  </r>
  <r>
    <n v="10625"/>
    <d v="2022-12-12T00:00:00"/>
    <x v="3"/>
    <n v="12.99"/>
    <n v="569.66999999999996"/>
    <s v="Online"/>
    <x v="0"/>
    <x v="0"/>
    <x v="0"/>
    <n v="7400.0132999999996"/>
  </r>
  <r>
    <n v="10626"/>
    <d v="2022-12-12T00:00:00"/>
    <x v="4"/>
    <n v="9.9499999999999993"/>
    <n v="201.01"/>
    <s v="Online"/>
    <x v="0"/>
    <x v="0"/>
    <x v="0"/>
    <n v="2000.0494999999999"/>
  </r>
  <r>
    <n v="10627"/>
    <d v="2022-12-12T00:00:00"/>
    <x v="0"/>
    <n v="3.49"/>
    <n v="630.37"/>
    <s v="Online"/>
    <x v="0"/>
    <x v="0"/>
    <x v="0"/>
    <n v="2199.9913000000001"/>
  </r>
  <r>
    <n v="10628"/>
    <d v="2022-12-12T00:00:00"/>
    <x v="1"/>
    <n v="2.95"/>
    <n v="677.97"/>
    <s v="Online"/>
    <x v="0"/>
    <x v="2"/>
    <x v="2"/>
    <n v="2000.0115000000003"/>
  </r>
  <r>
    <n v="10629"/>
    <d v="2022-12-12T00:00:00"/>
    <x v="2"/>
    <n v="4.99"/>
    <n v="200.4"/>
    <s v="Online"/>
    <x v="0"/>
    <x v="2"/>
    <x v="2"/>
    <n v="999.99600000000009"/>
  </r>
  <r>
    <n v="10630"/>
    <d v="2022-12-13T00:00:00"/>
    <x v="3"/>
    <n v="12.99"/>
    <n v="569.66999999999996"/>
    <s v="Online"/>
    <x v="2"/>
    <x v="2"/>
    <x v="2"/>
    <n v="7400.0132999999996"/>
  </r>
  <r>
    <n v="10631"/>
    <d v="2022-12-13T00:00:00"/>
    <x v="4"/>
    <n v="9.9499999999999993"/>
    <n v="201.01"/>
    <s v="Online"/>
    <x v="0"/>
    <x v="2"/>
    <x v="2"/>
    <n v="2000.0494999999999"/>
  </r>
  <r>
    <n v="10632"/>
    <d v="2022-12-13T00:00:00"/>
    <x v="0"/>
    <n v="3.49"/>
    <n v="630.37"/>
    <s v="Online"/>
    <x v="0"/>
    <x v="2"/>
    <x v="2"/>
    <n v="2199.9913000000001"/>
  </r>
  <r>
    <n v="10633"/>
    <d v="2022-12-13T00:00:00"/>
    <x v="1"/>
    <n v="2.95"/>
    <n v="677.97"/>
    <s v="Online"/>
    <x v="0"/>
    <x v="2"/>
    <x v="2"/>
    <n v="2000.0115000000003"/>
  </r>
  <r>
    <n v="10634"/>
    <d v="2022-12-13T00:00:00"/>
    <x v="2"/>
    <n v="4.99"/>
    <n v="200.4"/>
    <s v="Online"/>
    <x v="0"/>
    <x v="2"/>
    <x v="2"/>
    <n v="999.99600000000009"/>
  </r>
  <r>
    <n v="10635"/>
    <d v="2022-12-14T00:00:00"/>
    <x v="3"/>
    <n v="12.99"/>
    <n v="554.27"/>
    <s v="Online"/>
    <x v="0"/>
    <x v="2"/>
    <x v="2"/>
    <n v="7199.9673000000003"/>
  </r>
  <r>
    <n v="10636"/>
    <d v="2022-12-14T00:00:00"/>
    <x v="4"/>
    <n v="9.9499999999999993"/>
    <n v="221.11"/>
    <s v="Online"/>
    <x v="0"/>
    <x v="2"/>
    <x v="2"/>
    <n v="2200.0445"/>
  </r>
  <r>
    <n v="10637"/>
    <d v="2022-12-14T00:00:00"/>
    <x v="0"/>
    <n v="3.49"/>
    <n v="630.37"/>
    <s v="Online"/>
    <x v="0"/>
    <x v="2"/>
    <x v="2"/>
    <n v="2199.9913000000001"/>
  </r>
  <r>
    <n v="10638"/>
    <d v="2022-12-14T00:00:00"/>
    <x v="1"/>
    <n v="2.95"/>
    <n v="677.97"/>
    <s v="Online"/>
    <x v="0"/>
    <x v="2"/>
    <x v="2"/>
    <n v="2000.0115000000003"/>
  </r>
  <r>
    <n v="10639"/>
    <d v="2022-12-14T00:00:00"/>
    <x v="2"/>
    <n v="4.99"/>
    <n v="200.4"/>
    <s v="Online"/>
    <x v="0"/>
    <x v="2"/>
    <x v="2"/>
    <n v="999.99600000000009"/>
  </r>
  <r>
    <n v="10640"/>
    <d v="2022-12-15T00:00:00"/>
    <x v="3"/>
    <n v="12.99"/>
    <n v="538.88"/>
    <s v="Online"/>
    <x v="0"/>
    <x v="2"/>
    <x v="2"/>
    <n v="7000.0511999999999"/>
  </r>
  <r>
    <n v="10641"/>
    <d v="2022-12-15T00:00:00"/>
    <x v="4"/>
    <n v="9.9499999999999993"/>
    <n v="221.11"/>
    <s v="Online"/>
    <x v="0"/>
    <x v="2"/>
    <x v="2"/>
    <n v="2200.0445"/>
  </r>
  <r>
    <n v="10642"/>
    <d v="2022-12-15T00:00:00"/>
    <x v="0"/>
    <n v="3.49"/>
    <n v="630.37"/>
    <s v="Online"/>
    <x v="2"/>
    <x v="2"/>
    <x v="2"/>
    <n v="2199.9913000000001"/>
  </r>
  <r>
    <n v="10643"/>
    <d v="2022-12-15T00:00:00"/>
    <x v="1"/>
    <n v="2.95"/>
    <n v="677.97"/>
    <s v="Online"/>
    <x v="2"/>
    <x v="2"/>
    <x v="2"/>
    <n v="2000.0115000000003"/>
  </r>
  <r>
    <n v="10644"/>
    <d v="2022-12-15T00:00:00"/>
    <x v="2"/>
    <n v="4.99"/>
    <n v="200.4"/>
    <s v="Online"/>
    <x v="2"/>
    <x v="2"/>
    <x v="2"/>
    <n v="999.99600000000009"/>
  </r>
  <r>
    <n v="10645"/>
    <d v="2022-12-16T00:00:00"/>
    <x v="3"/>
    <n v="12.99"/>
    <n v="569.66999999999996"/>
    <s v="Online"/>
    <x v="2"/>
    <x v="2"/>
    <x v="2"/>
    <n v="7400.0132999999996"/>
  </r>
  <r>
    <n v="10646"/>
    <d v="2022-12-16T00:00:00"/>
    <x v="4"/>
    <n v="9.9499999999999993"/>
    <n v="221.11"/>
    <s v="Online"/>
    <x v="2"/>
    <x v="2"/>
    <x v="2"/>
    <n v="2200.0445"/>
  </r>
  <r>
    <n v="10647"/>
    <d v="2022-12-16T00:00:00"/>
    <x v="0"/>
    <n v="3.49"/>
    <n v="630.37"/>
    <s v="Online"/>
    <x v="0"/>
    <x v="2"/>
    <x v="2"/>
    <n v="2199.9913000000001"/>
  </r>
  <r>
    <n v="10648"/>
    <d v="2022-12-16T00:00:00"/>
    <x v="1"/>
    <n v="2.95"/>
    <n v="745.76"/>
    <s v="Online"/>
    <x v="0"/>
    <x v="2"/>
    <x v="2"/>
    <n v="2199.9920000000002"/>
  </r>
  <r>
    <n v="10649"/>
    <d v="2022-12-16T00:00:00"/>
    <x v="2"/>
    <n v="4.99"/>
    <n v="200.4"/>
    <s v="Online"/>
    <x v="0"/>
    <x v="2"/>
    <x v="2"/>
    <n v="999.99600000000009"/>
  </r>
  <r>
    <n v="10650"/>
    <d v="2022-12-17T00:00:00"/>
    <x v="3"/>
    <n v="12.99"/>
    <n v="585.07000000000005"/>
    <s v="Online"/>
    <x v="0"/>
    <x v="2"/>
    <x v="2"/>
    <n v="7600.0593000000008"/>
  </r>
  <r>
    <n v="10651"/>
    <d v="2022-12-17T00:00:00"/>
    <x v="4"/>
    <n v="9.9499999999999993"/>
    <n v="221.11"/>
    <s v="Online"/>
    <x v="0"/>
    <x v="2"/>
    <x v="2"/>
    <n v="2200.0445"/>
  </r>
  <r>
    <n v="10652"/>
    <d v="2022-12-17T00:00:00"/>
    <x v="0"/>
    <n v="3.49"/>
    <n v="687.68"/>
    <s v="Online"/>
    <x v="0"/>
    <x v="2"/>
    <x v="2"/>
    <n v="2400.0032000000001"/>
  </r>
  <r>
    <n v="10653"/>
    <d v="2022-12-17T00:00:00"/>
    <x v="1"/>
    <n v="2.95"/>
    <n v="745.76"/>
    <s v="Online"/>
    <x v="0"/>
    <x v="2"/>
    <x v="2"/>
    <n v="2199.9920000000002"/>
  </r>
  <r>
    <n v="10654"/>
    <d v="2022-12-17T00:00:00"/>
    <x v="2"/>
    <n v="4.99"/>
    <n v="200.4"/>
    <s v="Online"/>
    <x v="0"/>
    <x v="2"/>
    <x v="2"/>
    <n v="999.99600000000009"/>
  </r>
  <r>
    <n v="10655"/>
    <d v="2022-12-18T00:00:00"/>
    <x v="3"/>
    <n v="12.99"/>
    <n v="600.46"/>
    <s v="Online"/>
    <x v="0"/>
    <x v="2"/>
    <x v="2"/>
    <n v="7799.9754000000003"/>
  </r>
  <r>
    <n v="10656"/>
    <d v="2022-12-18T00:00:00"/>
    <x v="4"/>
    <n v="9.9499999999999993"/>
    <n v="221.11"/>
    <s v="Online"/>
    <x v="0"/>
    <x v="2"/>
    <x v="2"/>
    <n v="2200.0445"/>
  </r>
  <r>
    <n v="10657"/>
    <d v="2022-12-18T00:00:00"/>
    <x v="0"/>
    <n v="3.49"/>
    <n v="687.68"/>
    <s v="Online"/>
    <x v="0"/>
    <x v="2"/>
    <x v="2"/>
    <n v="2400.0032000000001"/>
  </r>
  <r>
    <n v="10658"/>
    <d v="2022-12-18T00:00:00"/>
    <x v="1"/>
    <n v="2.95"/>
    <n v="745.76"/>
    <s v="Online"/>
    <x v="2"/>
    <x v="2"/>
    <x v="2"/>
    <n v="2199.9920000000002"/>
  </r>
  <r>
    <n v="10659"/>
    <d v="2022-12-18T00:00:00"/>
    <x v="2"/>
    <n v="4.99"/>
    <n v="200.4"/>
    <s v="Online"/>
    <x v="2"/>
    <x v="2"/>
    <x v="2"/>
    <n v="999.99600000000009"/>
  </r>
  <r>
    <n v="10660"/>
    <d v="2022-12-19T00:00:00"/>
    <x v="3"/>
    <n v="12.99"/>
    <n v="631.25"/>
    <s v="In-Store"/>
    <x v="2"/>
    <x v="2"/>
    <x v="2"/>
    <n v="8199.9375"/>
  </r>
  <r>
    <n v="10661"/>
    <d v="2022-12-19T00:00:00"/>
    <x v="4"/>
    <n v="9.9499999999999993"/>
    <n v="221.11"/>
    <s v="In-Store"/>
    <x v="2"/>
    <x v="2"/>
    <x v="2"/>
    <n v="2200.0445"/>
  </r>
  <r>
    <n v="10662"/>
    <d v="2022-12-19T00:00:00"/>
    <x v="0"/>
    <n v="3.49"/>
    <n v="630.37"/>
    <s v="In-Store"/>
    <x v="2"/>
    <x v="2"/>
    <x v="2"/>
    <n v="2199.9913000000001"/>
  </r>
  <r>
    <n v="10663"/>
    <d v="2022-12-19T00:00:00"/>
    <x v="1"/>
    <n v="2.95"/>
    <n v="745.76"/>
    <s v="In-Store"/>
    <x v="2"/>
    <x v="2"/>
    <x v="2"/>
    <n v="2199.9920000000002"/>
  </r>
  <r>
    <n v="10664"/>
    <d v="2022-12-19T00:00:00"/>
    <x v="2"/>
    <n v="4.99"/>
    <n v="200.4"/>
    <s v="In-Store"/>
    <x v="2"/>
    <x v="2"/>
    <x v="2"/>
    <n v="999.99600000000009"/>
  </r>
  <r>
    <n v="10665"/>
    <d v="2022-12-20T00:00:00"/>
    <x v="3"/>
    <n v="12.99"/>
    <n v="646.65"/>
    <s v="In-Store"/>
    <x v="2"/>
    <x v="2"/>
    <x v="2"/>
    <n v="8399.9835000000003"/>
  </r>
  <r>
    <n v="10666"/>
    <d v="2022-12-20T00:00:00"/>
    <x v="4"/>
    <n v="9.9499999999999993"/>
    <n v="221.11"/>
    <s v="In-Store"/>
    <x v="2"/>
    <x v="2"/>
    <x v="2"/>
    <n v="2200.0445"/>
  </r>
  <r>
    <n v="10667"/>
    <d v="2022-12-20T00:00:00"/>
    <x v="0"/>
    <n v="3.49"/>
    <n v="630.37"/>
    <s v="In-Store"/>
    <x v="2"/>
    <x v="2"/>
    <x v="2"/>
    <n v="2199.9913000000001"/>
  </r>
  <r>
    <n v="10668"/>
    <d v="2022-12-20T00:00:00"/>
    <x v="1"/>
    <n v="2.95"/>
    <n v="745.76"/>
    <s v="In-Store"/>
    <x v="2"/>
    <x v="2"/>
    <x v="2"/>
    <n v="2199.9920000000002"/>
  </r>
  <r>
    <n v="10669"/>
    <d v="2022-12-20T00:00:00"/>
    <x v="2"/>
    <n v="4.99"/>
    <n v="200.4"/>
    <s v="In-Store"/>
    <x v="2"/>
    <x v="2"/>
    <x v="2"/>
    <n v="999.99600000000009"/>
  </r>
  <r>
    <n v="10670"/>
    <d v="2022-12-21T00:00:00"/>
    <x v="3"/>
    <n v="12.99"/>
    <n v="677.44"/>
    <s v="In-Store"/>
    <x v="2"/>
    <x v="2"/>
    <x v="2"/>
    <n v="8799.9456000000009"/>
  </r>
  <r>
    <n v="10671"/>
    <d v="2022-12-21T00:00:00"/>
    <x v="4"/>
    <n v="9.9499999999999993"/>
    <n v="221.11"/>
    <s v="In-Store"/>
    <x v="2"/>
    <x v="2"/>
    <x v="2"/>
    <n v="2200.0445"/>
  </r>
  <r>
    <n v="10672"/>
    <d v="2022-12-21T00:00:00"/>
    <x v="0"/>
    <n v="3.49"/>
    <n v="630.37"/>
    <s v="In-Store"/>
    <x v="2"/>
    <x v="2"/>
    <x v="2"/>
    <n v="2199.9913000000001"/>
  </r>
  <r>
    <n v="10673"/>
    <d v="2022-12-21T00:00:00"/>
    <x v="1"/>
    <n v="2.95"/>
    <n v="745.76"/>
    <s v="In-Store"/>
    <x v="2"/>
    <x v="2"/>
    <x v="2"/>
    <n v="2199.9920000000002"/>
  </r>
  <r>
    <n v="10674"/>
    <d v="2022-12-21T00:00:00"/>
    <x v="2"/>
    <n v="4.99"/>
    <n v="200.4"/>
    <s v="In-Store"/>
    <x v="2"/>
    <x v="2"/>
    <x v="2"/>
    <n v="999.99600000000009"/>
  </r>
  <r>
    <n v="10675"/>
    <d v="2022-12-22T00:00:00"/>
    <x v="3"/>
    <n v="12.99"/>
    <n v="677.44"/>
    <s v="In-Store"/>
    <x v="2"/>
    <x v="2"/>
    <x v="2"/>
    <n v="8799.9456000000009"/>
  </r>
  <r>
    <n v="10676"/>
    <d v="2022-12-22T00:00:00"/>
    <x v="4"/>
    <n v="9.9499999999999993"/>
    <n v="241.21"/>
    <s v="In-Store"/>
    <x v="2"/>
    <x v="2"/>
    <x v="2"/>
    <n v="2400.0394999999999"/>
  </r>
  <r>
    <n v="10677"/>
    <d v="2022-12-22T00:00:00"/>
    <x v="0"/>
    <n v="3.49"/>
    <n v="630.37"/>
    <s v="In-Store"/>
    <x v="2"/>
    <x v="2"/>
    <x v="2"/>
    <n v="2199.9913000000001"/>
  </r>
  <r>
    <n v="10678"/>
    <d v="2022-12-22T00:00:00"/>
    <x v="1"/>
    <n v="2.95"/>
    <n v="745.76"/>
    <s v="In-Store"/>
    <x v="2"/>
    <x v="2"/>
    <x v="2"/>
    <n v="2199.9920000000002"/>
  </r>
  <r>
    <n v="10679"/>
    <d v="2022-12-22T00:00:00"/>
    <x v="2"/>
    <n v="4.99"/>
    <n v="200.4"/>
    <s v="In-Store"/>
    <x v="2"/>
    <x v="2"/>
    <x v="2"/>
    <n v="999.99600000000009"/>
  </r>
  <r>
    <n v="10680"/>
    <d v="2022-12-23T00:00:00"/>
    <x v="3"/>
    <n v="12.99"/>
    <n v="646.65"/>
    <s v="In-Store"/>
    <x v="2"/>
    <x v="2"/>
    <x v="2"/>
    <n v="8399.9835000000003"/>
  </r>
  <r>
    <n v="10681"/>
    <d v="2022-12-23T00:00:00"/>
    <x v="4"/>
    <n v="9.9499999999999993"/>
    <n v="241.21"/>
    <s v="In-Store"/>
    <x v="2"/>
    <x v="2"/>
    <x v="2"/>
    <n v="2400.0394999999999"/>
  </r>
  <r>
    <n v="10682"/>
    <d v="2022-12-23T00:00:00"/>
    <x v="0"/>
    <n v="3.49"/>
    <n v="630.37"/>
    <s v="In-Store"/>
    <x v="2"/>
    <x v="2"/>
    <x v="2"/>
    <n v="2199.9913000000001"/>
  </r>
  <r>
    <n v="10683"/>
    <d v="2022-12-23T00:00:00"/>
    <x v="1"/>
    <n v="2.95"/>
    <n v="677.97"/>
    <s v="In-Store"/>
    <x v="2"/>
    <x v="2"/>
    <x v="2"/>
    <n v="2000.0115000000003"/>
  </r>
  <r>
    <n v="10684"/>
    <d v="2022-12-23T00:00:00"/>
    <x v="2"/>
    <n v="4.99"/>
    <n v="200.4"/>
    <s v="In-Store"/>
    <x v="2"/>
    <x v="2"/>
    <x v="2"/>
    <n v="999.99600000000009"/>
  </r>
  <r>
    <n v="10685"/>
    <d v="2022-12-24T00:00:00"/>
    <x v="3"/>
    <n v="12.99"/>
    <n v="677.44"/>
    <s v="In-Store"/>
    <x v="2"/>
    <x v="2"/>
    <x v="2"/>
    <n v="8799.9456000000009"/>
  </r>
  <r>
    <n v="10686"/>
    <d v="2022-12-24T00:00:00"/>
    <x v="4"/>
    <n v="9.9499999999999993"/>
    <n v="241.21"/>
    <s v="In-Store"/>
    <x v="2"/>
    <x v="2"/>
    <x v="2"/>
    <n v="2400.0394999999999"/>
  </r>
  <r>
    <n v="10687"/>
    <d v="2022-12-24T00:00:00"/>
    <x v="0"/>
    <n v="3.49"/>
    <n v="630.37"/>
    <s v="In-Store"/>
    <x v="2"/>
    <x v="3"/>
    <x v="3"/>
    <n v="2199.9913000000001"/>
  </r>
  <r>
    <n v="10688"/>
    <d v="2022-12-24T00:00:00"/>
    <x v="1"/>
    <n v="2.95"/>
    <n v="677.97"/>
    <s v="In-Store"/>
    <x v="2"/>
    <x v="3"/>
    <x v="3"/>
    <n v="2000.0115000000003"/>
  </r>
  <r>
    <n v="10689"/>
    <d v="2022-12-24T00:00:00"/>
    <x v="2"/>
    <n v="4.99"/>
    <n v="200.4"/>
    <s v="In-Store"/>
    <x v="2"/>
    <x v="3"/>
    <x v="3"/>
    <n v="999.99600000000009"/>
  </r>
  <r>
    <n v="10690"/>
    <d v="2022-12-25T00:00:00"/>
    <x v="3"/>
    <n v="12.99"/>
    <n v="677.44"/>
    <s v="In-Store"/>
    <x v="2"/>
    <x v="3"/>
    <x v="3"/>
    <n v="8799.9456000000009"/>
  </r>
  <r>
    <n v="10691"/>
    <d v="2022-12-25T00:00:00"/>
    <x v="4"/>
    <n v="9.9499999999999993"/>
    <n v="261.31"/>
    <s v="In-Store"/>
    <x v="2"/>
    <x v="3"/>
    <x v="3"/>
    <n v="2600.0344999999998"/>
  </r>
  <r>
    <n v="10692"/>
    <d v="2022-12-25T00:00:00"/>
    <x v="0"/>
    <n v="3.49"/>
    <n v="630.37"/>
    <s v="In-Store"/>
    <x v="2"/>
    <x v="3"/>
    <x v="3"/>
    <n v="2199.9913000000001"/>
  </r>
  <r>
    <n v="10693"/>
    <d v="2022-12-25T00:00:00"/>
    <x v="1"/>
    <n v="2.95"/>
    <n v="677.97"/>
    <s v="In-Store"/>
    <x v="2"/>
    <x v="3"/>
    <x v="3"/>
    <n v="2000.0115000000003"/>
  </r>
  <r>
    <n v="10694"/>
    <d v="2022-12-25T00:00:00"/>
    <x v="2"/>
    <n v="4.99"/>
    <n v="200.4"/>
    <s v="In-Store"/>
    <x v="2"/>
    <x v="3"/>
    <x v="3"/>
    <n v="999.99600000000009"/>
  </r>
  <r>
    <n v="10695"/>
    <d v="2022-12-26T00:00:00"/>
    <x v="3"/>
    <n v="12.99"/>
    <n v="692.84"/>
    <s v="In-Store"/>
    <x v="2"/>
    <x v="3"/>
    <x v="3"/>
    <n v="8999.9916000000012"/>
  </r>
  <r>
    <n v="10696"/>
    <d v="2022-12-26T00:00:00"/>
    <x v="4"/>
    <n v="9.9499999999999993"/>
    <n v="281.41000000000003"/>
    <s v="In-Store"/>
    <x v="2"/>
    <x v="3"/>
    <x v="3"/>
    <n v="2800.0295000000001"/>
  </r>
  <r>
    <n v="10697"/>
    <d v="2022-12-26T00:00:00"/>
    <x v="0"/>
    <n v="3.49"/>
    <n v="630.37"/>
    <s v="In-Store"/>
    <x v="2"/>
    <x v="3"/>
    <x v="3"/>
    <n v="2199.9913000000001"/>
  </r>
  <r>
    <n v="10698"/>
    <d v="2022-12-26T00:00:00"/>
    <x v="1"/>
    <n v="2.95"/>
    <n v="677.97"/>
    <s v="In-Store"/>
    <x v="2"/>
    <x v="3"/>
    <x v="3"/>
    <n v="2000.0115000000003"/>
  </r>
  <r>
    <n v="10699"/>
    <d v="2022-12-26T00:00:00"/>
    <x v="2"/>
    <n v="4.99"/>
    <n v="200.4"/>
    <s v="In-Store"/>
    <x v="2"/>
    <x v="3"/>
    <x v="3"/>
    <n v="999.99600000000009"/>
  </r>
  <r>
    <n v="10700"/>
    <d v="2022-12-27T00:00:00"/>
    <x v="3"/>
    <n v="12.99"/>
    <n v="692.84"/>
    <s v="In-Store"/>
    <x v="2"/>
    <x v="3"/>
    <x v="3"/>
    <n v="8999.9916000000012"/>
  </r>
  <r>
    <n v="10701"/>
    <d v="2022-12-27T00:00:00"/>
    <x v="4"/>
    <n v="9.9499999999999993"/>
    <n v="281.41000000000003"/>
    <s v="In-Store"/>
    <x v="2"/>
    <x v="3"/>
    <x v="3"/>
    <n v="2800.0295000000001"/>
  </r>
  <r>
    <n v="10702"/>
    <d v="2022-12-27T00:00:00"/>
    <x v="0"/>
    <n v="3.49"/>
    <n v="630.37"/>
    <s v="In-Store"/>
    <x v="2"/>
    <x v="3"/>
    <x v="3"/>
    <n v="2199.9913000000001"/>
  </r>
  <r>
    <n v="10703"/>
    <d v="2022-12-27T00:00:00"/>
    <x v="1"/>
    <n v="2.95"/>
    <n v="677.97"/>
    <s v="In-Store"/>
    <x v="0"/>
    <x v="3"/>
    <x v="3"/>
    <n v="2000.0115000000003"/>
  </r>
  <r>
    <n v="10704"/>
    <d v="2022-12-27T00:00:00"/>
    <x v="2"/>
    <n v="4.99"/>
    <n v="200.4"/>
    <s v="Drive-Thru"/>
    <x v="0"/>
    <x v="3"/>
    <x v="3"/>
    <n v="999.99600000000009"/>
  </r>
  <r>
    <n v="10705"/>
    <d v="2022-12-28T00:00:00"/>
    <x v="3"/>
    <n v="12.99"/>
    <n v="723.63"/>
    <s v="Drive-Thru"/>
    <x v="0"/>
    <x v="3"/>
    <x v="3"/>
    <n v="9399.9537"/>
  </r>
  <r>
    <n v="10706"/>
    <d v="2022-12-28T00:00:00"/>
    <x v="4"/>
    <n v="9.9499999999999993"/>
    <n v="301.51"/>
    <s v="Drive-Thru"/>
    <x v="0"/>
    <x v="3"/>
    <x v="3"/>
    <n v="3000.0244999999995"/>
  </r>
  <r>
    <n v="10707"/>
    <d v="2022-12-28T00:00:00"/>
    <x v="0"/>
    <n v="3.49"/>
    <n v="630.37"/>
    <s v="Drive-Thru"/>
    <x v="0"/>
    <x v="3"/>
    <x v="3"/>
    <n v="2199.9913000000001"/>
  </r>
  <r>
    <n v="10708"/>
    <d v="2022-12-28T00:00:00"/>
    <x v="1"/>
    <n v="2.95"/>
    <n v="677.97"/>
    <s v="Drive-Thru"/>
    <x v="0"/>
    <x v="3"/>
    <x v="3"/>
    <n v="2000.0115000000003"/>
  </r>
  <r>
    <n v="10709"/>
    <d v="2022-12-28T00:00:00"/>
    <x v="2"/>
    <n v="4.99"/>
    <n v="200.4"/>
    <s v="Drive-Thru"/>
    <x v="0"/>
    <x v="3"/>
    <x v="3"/>
    <n v="999.99600000000009"/>
  </r>
  <r>
    <n v="10710"/>
    <d v="2022-12-29T00:00:00"/>
    <x v="3"/>
    <n v="12.99"/>
    <n v="754.43"/>
    <s v="Drive-Thru"/>
    <x v="0"/>
    <x v="3"/>
    <x v="3"/>
    <n v="9800.0456999999988"/>
  </r>
  <r>
    <n v="10711"/>
    <d v="2022-12-29T00:00:00"/>
    <x v="4"/>
    <n v="9.9499999999999993"/>
    <n v="281.41000000000003"/>
    <s v="Drive-Thru"/>
    <x v="0"/>
    <x v="3"/>
    <x v="3"/>
    <n v="2800.0295000000001"/>
  </r>
  <r>
    <n v="10712"/>
    <d v="2022-12-29T00:00:00"/>
    <x v="0"/>
    <n v="3.49"/>
    <n v="630.37"/>
    <s v="Drive-Thru"/>
    <x v="0"/>
    <x v="3"/>
    <x v="3"/>
    <n v="2199.9913000000001"/>
  </r>
  <r>
    <n v="10713"/>
    <d v="2022-12-29T00:00:00"/>
    <x v="1"/>
    <n v="2.95"/>
    <n v="677.97"/>
    <s v="Drive-Thru"/>
    <x v="0"/>
    <x v="3"/>
    <x v="3"/>
    <n v="2000.0115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I5:J11" firstHeaderRow="1" firstDataRow="1" firstDataCol="1"/>
  <pivotFields count="10">
    <pivotField numFmtId="164" showAll="0"/>
    <pivotField numFmtId="14" showAll="0"/>
    <pivotField axis="axisRow" numFmtId="164"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numFmtId="164" showAll="0"/>
    <pivotField numFmtId="1" showAll="0"/>
    <pivotField numFmtId="164" showAll="0"/>
    <pivotField numFmtId="164" showAll="0">
      <items count="4">
        <item x="2"/>
        <item x="1"/>
        <item x="0"/>
        <item t="default"/>
      </items>
    </pivotField>
    <pivotField numFmtId="164" showAll="0"/>
    <pivotField numFmtId="164" showAll="0">
      <items count="6">
        <item x="3"/>
        <item x="2"/>
        <item x="0"/>
        <item x="1"/>
        <item x="4"/>
        <item t="default"/>
      </items>
    </pivotField>
    <pivotField dataField="1" numFmtId="164" showAll="0"/>
  </pivotFields>
  <rowFields count="1">
    <field x="2"/>
  </rowFields>
  <rowItems count="6">
    <i>
      <x v="1"/>
    </i>
    <i>
      <x v="3"/>
    </i>
    <i>
      <x v="2"/>
    </i>
    <i>
      <x/>
    </i>
    <i>
      <x v="4"/>
    </i>
    <i t="grand">
      <x/>
    </i>
  </rowItems>
  <colItems count="1">
    <i/>
  </colItems>
  <dataFields count="1">
    <dataField name="Average of Total revenue" fld="9" subtotal="average" baseField="2" baseItem="0" numFmtId="164"/>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5:C11" firstHeaderRow="1" firstDataRow="1" firstDataCol="1"/>
  <pivotFields count="10">
    <pivotField numFmtId="164" showAll="0"/>
    <pivotField numFmtId="14" showAll="0"/>
    <pivotField axis="axisRow" numFmtId="164"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numFmtId="164" showAll="0"/>
    <pivotField dataField="1" numFmtId="1" showAll="0"/>
    <pivotField numFmtId="164" showAll="0"/>
    <pivotField numFmtId="164" showAll="0">
      <items count="4">
        <item x="2"/>
        <item x="1"/>
        <item x="0"/>
        <item t="default"/>
      </items>
    </pivotField>
    <pivotField numFmtId="164" showAll="0"/>
    <pivotField numFmtId="164" showAll="0">
      <items count="6">
        <item x="3"/>
        <item x="2"/>
        <item x="0"/>
        <item x="1"/>
        <item x="4"/>
        <item t="default"/>
      </items>
    </pivotField>
    <pivotField numFmtId="164" showAll="0"/>
  </pivotFields>
  <rowFields count="1">
    <field x="2"/>
  </rowFields>
  <rowItems count="6">
    <i>
      <x/>
    </i>
    <i>
      <x v="3"/>
    </i>
    <i>
      <x v="1"/>
    </i>
    <i>
      <x v="2"/>
    </i>
    <i>
      <x v="4"/>
    </i>
    <i t="grand">
      <x/>
    </i>
  </rowItems>
  <colItems count="1">
    <i/>
  </colItems>
  <dataFields count="1">
    <dataField name="Sum of Quantity" fld="4" baseField="0" baseItem="0" numFmtId="164"/>
  </dataFields>
  <chartFormats count="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5:F9" firstHeaderRow="1" firstDataRow="1" firstDataCol="1"/>
  <pivotFields count="10">
    <pivotField numFmtId="164" showAll="0"/>
    <pivotField numFmtId="14" showAll="0"/>
    <pivotField numFmtId="164" showAll="0">
      <items count="6">
        <item x="1"/>
        <item x="3"/>
        <item x="4"/>
        <item x="0"/>
        <item x="2"/>
        <item t="default"/>
      </items>
    </pivotField>
    <pivotField numFmtId="164" showAll="0"/>
    <pivotField numFmtId="1" showAll="0"/>
    <pivotField numFmtId="164" showAll="0"/>
    <pivotField axis="axisRow" numFmtId="164"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64" showAll="0"/>
    <pivotField numFmtId="164" showAll="0">
      <items count="6">
        <item x="3"/>
        <item x="2"/>
        <item x="0"/>
        <item x="1"/>
        <item x="4"/>
        <item t="default"/>
      </items>
    </pivotField>
    <pivotField dataField="1" numFmtId="164" showAll="0"/>
  </pivotFields>
  <rowFields count="1">
    <field x="6"/>
  </rowFields>
  <rowItems count="4">
    <i>
      <x v="1"/>
    </i>
    <i>
      <x/>
    </i>
    <i>
      <x v="2"/>
    </i>
    <i t="grand">
      <x/>
    </i>
  </rowItems>
  <colItems count="1">
    <i/>
  </colItems>
  <dataFields count="1">
    <dataField name="Sum of Total revenue" fld="9" baseField="0" baseItem="0" numFmtId="164"/>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2"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15:F19" firstHeaderRow="1" firstDataRow="1" firstDataCol="1"/>
  <pivotFields count="10">
    <pivotField dataField="1" numFmtId="164" showAll="0"/>
    <pivotField numFmtId="14" showAll="0"/>
    <pivotField numFmtId="164" showAll="0">
      <items count="6">
        <item x="1"/>
        <item x="3"/>
        <item x="4"/>
        <item x="0"/>
        <item x="2"/>
        <item t="default"/>
      </items>
    </pivotField>
    <pivotField numFmtId="164" showAll="0"/>
    <pivotField numFmtId="1" showAll="0"/>
    <pivotField numFmtId="164" showAll="0"/>
    <pivotField axis="axisRow" numFmtId="164"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64" showAll="0">
      <items count="6">
        <item x="2"/>
        <item x="1"/>
        <item x="4"/>
        <item x="0"/>
        <item x="3"/>
        <item t="default"/>
      </items>
    </pivotField>
    <pivotField numFmtId="164" showAll="0">
      <items count="6">
        <item x="3"/>
        <item x="2"/>
        <item x="0"/>
        <item x="1"/>
        <item x="4"/>
        <item t="default"/>
      </items>
    </pivotField>
    <pivotField numFmtId="164" showAll="0"/>
  </pivotFields>
  <rowFields count="1">
    <field x="6"/>
  </rowFields>
  <rowItems count="4">
    <i>
      <x v="1"/>
    </i>
    <i>
      <x/>
    </i>
    <i>
      <x v="2"/>
    </i>
    <i t="grand">
      <x/>
    </i>
  </rowItems>
  <colItems count="1">
    <i/>
  </colItems>
  <dataFields count="1">
    <dataField name="Count of Order ID" fld="0" subtotal="count" baseField="6" baseItem="0" numFmtId="164"/>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0"/>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15:C21" firstHeaderRow="1" firstDataRow="1" firstDataCol="1"/>
  <pivotFields count="10">
    <pivotField numFmtId="164" showAll="0"/>
    <pivotField numFmtId="14" showAll="0"/>
    <pivotField numFmtId="164" showAll="0">
      <items count="6">
        <item x="1"/>
        <item x="3"/>
        <item x="4"/>
        <item x="0"/>
        <item x="2"/>
        <item t="default"/>
      </items>
    </pivotField>
    <pivotField numFmtId="164" showAll="0"/>
    <pivotField numFmtId="1" showAll="0"/>
    <pivotField numFmtId="164" showAll="0"/>
    <pivotField numFmtId="164" showAll="0">
      <items count="4">
        <item x="2"/>
        <item x="1"/>
        <item x="0"/>
        <item t="default"/>
      </items>
    </pivotField>
    <pivotField axis="axisRow" numFmtId="164"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numFmtId="164" showAll="0">
      <items count="6">
        <item x="3"/>
        <item x="2"/>
        <item x="0"/>
        <item x="1"/>
        <item x="4"/>
        <item t="default"/>
      </items>
    </pivotField>
    <pivotField dataField="1" numFmtId="164" showAll="0"/>
  </pivotFields>
  <rowFields count="1">
    <field x="7"/>
  </rowFields>
  <rowItems count="6">
    <i>
      <x/>
    </i>
    <i>
      <x v="3"/>
    </i>
    <i>
      <x v="1"/>
    </i>
    <i>
      <x v="4"/>
    </i>
    <i>
      <x v="2"/>
    </i>
    <i t="grand">
      <x/>
    </i>
  </rowItems>
  <colItems count="1">
    <i/>
  </colItems>
  <dataFields count="1">
    <dataField name="Sum of Total revenue" fld="9" baseField="0" baseItem="0" numFmtId="164"/>
  </dataFields>
  <chartFormats count="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 Method">
  <pivotTables>
    <pivotTable tabId="7" name="PivotTable3"/>
    <pivotTable tabId="7" name="PivotTable4"/>
    <pivotTable tabId="7" name="PivotTable5"/>
    <pivotTable tabId="7" name="PivotTable6"/>
    <pivotTable tabId="7" name="PivotTable7"/>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7" name="PivotTable7"/>
    <pivotTable tabId="7" name="PivotTable3"/>
    <pivotTable tabId="7" name="PivotTable4"/>
    <pivotTable tabId="7" name="PivotTable5"/>
    <pivotTable tabId="7" name="PivotTable6"/>
  </pivotTables>
  <data>
    <tabular pivotCacheId="1">
      <items count="5">
        <i x="1" s="1"/>
        <i x="3"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7" name="PivotTable5"/>
    <pivotTable tabId="7" name="PivotTable3"/>
    <pivotTable tabId="7" name="PivotTable4"/>
    <pivotTable tabId="7" name="PivotTable6"/>
    <pivotTable tabId="7" name="PivotTable7"/>
  </pivotTables>
  <data>
    <tabular pivotCacheId="1">
      <items count="5">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yment Method 1" cache="Slicer_Payment_Method" caption="Payment Method" rowHeight="241300"/>
  <slicer name="Product 1" cache="Slicer_Product" caption="Product" rowHeight="241300"/>
  <slicer name="City 1" cache="Slicer_City" caption="City" rowHeight="241300"/>
</slicers>
</file>

<file path=xl/tables/table1.xml><?xml version="1.0" encoding="utf-8"?>
<table xmlns="http://schemas.openxmlformats.org/spreadsheetml/2006/main" id="1" name="Table1" displayName="Table1" ref="A1:J255" totalsRowShown="0">
  <autoFilter ref="A1:J255"/>
  <tableColumns count="10">
    <tableColumn id="1" name="Order ID" dataDxfId="4"/>
    <tableColumn id="2" name="Date" dataDxfId="3"/>
    <tableColumn id="3" name="Product"/>
    <tableColumn id="4" name="Price" dataDxfId="2"/>
    <tableColumn id="5" name="Quantity" dataDxfId="1"/>
    <tableColumn id="6" name="Purchase Type"/>
    <tableColumn id="7" name="Payment Method"/>
    <tableColumn id="8" name="Manager"/>
    <tableColumn id="9" name="City"/>
    <tableColumn id="10" name="Total revenue" dataDxfId="0">
      <calculatedColumnFormula>E2*D2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5"/>
  <sheetViews>
    <sheetView tabSelected="1" workbookViewId="0">
      <selection sqref="A1:A1048576"/>
    </sheetView>
  </sheetViews>
  <sheetFormatPr defaultRowHeight="15" x14ac:dyDescent="0.25"/>
  <cols>
    <col min="1" max="1" width="10.5703125" style="3" bestFit="1" customWidth="1"/>
  </cols>
  <sheetData>
    <row r="1" spans="1:9" x14ac:dyDescent="0.25">
      <c r="A1" s="3" t="s">
        <v>0</v>
      </c>
      <c r="B1" t="s">
        <v>1</v>
      </c>
      <c r="C1" t="s">
        <v>2</v>
      </c>
      <c r="D1" t="s">
        <v>3</v>
      </c>
      <c r="E1" t="s">
        <v>4</v>
      </c>
      <c r="F1" t="s">
        <v>5</v>
      </c>
      <c r="G1" t="s">
        <v>6</v>
      </c>
      <c r="H1" t="s">
        <v>7</v>
      </c>
      <c r="I1" t="s">
        <v>8</v>
      </c>
    </row>
    <row r="2" spans="1:9" x14ac:dyDescent="0.25">
      <c r="A2" s="3">
        <v>10452</v>
      </c>
      <c r="B2" s="1">
        <v>44872</v>
      </c>
      <c r="C2" t="s">
        <v>9</v>
      </c>
      <c r="D2">
        <v>3.49</v>
      </c>
      <c r="E2">
        <v>573.07000000000005</v>
      </c>
      <c r="F2" t="s">
        <v>10</v>
      </c>
      <c r="G2" t="s">
        <v>11</v>
      </c>
      <c r="H2" t="s">
        <v>12</v>
      </c>
      <c r="I2" t="s">
        <v>13</v>
      </c>
    </row>
    <row r="3" spans="1:9" x14ac:dyDescent="0.25">
      <c r="A3" s="3">
        <v>10453</v>
      </c>
      <c r="B3" s="1">
        <v>44872</v>
      </c>
      <c r="C3" t="s">
        <v>14</v>
      </c>
      <c r="D3">
        <v>2.95</v>
      </c>
      <c r="E3">
        <v>745.76</v>
      </c>
      <c r="F3" t="s">
        <v>10</v>
      </c>
      <c r="G3" t="s">
        <v>11</v>
      </c>
      <c r="H3" t="s">
        <v>15</v>
      </c>
      <c r="I3" t="s">
        <v>16</v>
      </c>
    </row>
    <row r="4" spans="1:9" x14ac:dyDescent="0.25">
      <c r="A4" s="3">
        <v>10454</v>
      </c>
      <c r="B4" s="1">
        <v>44872</v>
      </c>
      <c r="C4" t="s">
        <v>17</v>
      </c>
      <c r="D4">
        <v>4.99</v>
      </c>
      <c r="E4">
        <v>200.4</v>
      </c>
      <c r="F4" t="s">
        <v>18</v>
      </c>
      <c r="G4" t="s">
        <v>11</v>
      </c>
      <c r="H4" t="s">
        <v>19</v>
      </c>
      <c r="I4" t="s">
        <v>20</v>
      </c>
    </row>
    <row r="5" spans="1:9" x14ac:dyDescent="0.25">
      <c r="A5" s="3">
        <v>10455</v>
      </c>
      <c r="B5" s="1">
        <v>44873</v>
      </c>
      <c r="C5" t="s">
        <v>21</v>
      </c>
      <c r="D5">
        <v>12.99</v>
      </c>
      <c r="E5">
        <v>569.66999999999996</v>
      </c>
      <c r="F5" t="s">
        <v>18</v>
      </c>
      <c r="G5" t="s">
        <v>22</v>
      </c>
      <c r="H5" t="s">
        <v>23</v>
      </c>
      <c r="I5" t="s">
        <v>24</v>
      </c>
    </row>
    <row r="6" spans="1:9" x14ac:dyDescent="0.25">
      <c r="A6" s="3">
        <v>10456</v>
      </c>
      <c r="B6" s="1">
        <v>44873</v>
      </c>
      <c r="C6" t="s">
        <v>25</v>
      </c>
      <c r="D6">
        <v>9.9499999999999993</v>
      </c>
      <c r="E6">
        <v>201.01</v>
      </c>
      <c r="F6" t="s">
        <v>18</v>
      </c>
      <c r="G6" t="s">
        <v>22</v>
      </c>
      <c r="H6" t="s">
        <v>23</v>
      </c>
      <c r="I6" t="s">
        <v>24</v>
      </c>
    </row>
    <row r="7" spans="1:9" x14ac:dyDescent="0.25">
      <c r="A7" s="3">
        <v>10457</v>
      </c>
      <c r="B7" s="1">
        <v>44873</v>
      </c>
      <c r="C7" t="s">
        <v>9</v>
      </c>
      <c r="D7">
        <v>3.49</v>
      </c>
      <c r="E7">
        <v>573.07000000000005</v>
      </c>
      <c r="F7" t="s">
        <v>18</v>
      </c>
      <c r="G7" t="s">
        <v>22</v>
      </c>
      <c r="H7" t="s">
        <v>26</v>
      </c>
      <c r="I7" t="s">
        <v>27</v>
      </c>
    </row>
    <row r="8" spans="1:9" x14ac:dyDescent="0.25">
      <c r="A8" s="3">
        <v>10459</v>
      </c>
      <c r="B8" s="1">
        <v>44873</v>
      </c>
      <c r="C8" t="s">
        <v>17</v>
      </c>
      <c r="D8">
        <v>4.99</v>
      </c>
      <c r="E8">
        <v>200.4</v>
      </c>
      <c r="F8" t="s">
        <v>18</v>
      </c>
      <c r="G8" t="s">
        <v>22</v>
      </c>
      <c r="H8" t="s">
        <v>23</v>
      </c>
      <c r="I8" t="s">
        <v>24</v>
      </c>
    </row>
    <row r="9" spans="1:9" x14ac:dyDescent="0.25">
      <c r="A9" s="3">
        <v>10460</v>
      </c>
      <c r="B9" s="1">
        <v>44874</v>
      </c>
      <c r="C9" t="s">
        <v>21</v>
      </c>
      <c r="D9">
        <v>12.99</v>
      </c>
      <c r="E9">
        <v>554.27</v>
      </c>
      <c r="F9" t="s">
        <v>18</v>
      </c>
      <c r="G9" t="s">
        <v>22</v>
      </c>
      <c r="H9" t="s">
        <v>28</v>
      </c>
      <c r="I9" t="s">
        <v>27</v>
      </c>
    </row>
    <row r="10" spans="1:9" x14ac:dyDescent="0.25">
      <c r="A10" s="3">
        <v>10461</v>
      </c>
      <c r="B10" s="1">
        <v>44874</v>
      </c>
      <c r="C10" t="s">
        <v>25</v>
      </c>
      <c r="D10">
        <v>9.9499999999999993</v>
      </c>
      <c r="E10">
        <v>201.01</v>
      </c>
      <c r="F10" t="s">
        <v>18</v>
      </c>
      <c r="G10" t="s">
        <v>22</v>
      </c>
      <c r="H10" t="s">
        <v>28</v>
      </c>
      <c r="I10" t="s">
        <v>27</v>
      </c>
    </row>
    <row r="11" spans="1:9" x14ac:dyDescent="0.25">
      <c r="A11" s="3">
        <v>10462</v>
      </c>
      <c r="B11" s="1">
        <v>44874</v>
      </c>
      <c r="C11" t="s">
        <v>9</v>
      </c>
      <c r="D11">
        <v>3.49</v>
      </c>
      <c r="E11">
        <v>573.07000000000005</v>
      </c>
      <c r="F11" t="s">
        <v>18</v>
      </c>
      <c r="G11" t="s">
        <v>22</v>
      </c>
      <c r="H11" t="s">
        <v>29</v>
      </c>
      <c r="I11" t="s">
        <v>27</v>
      </c>
    </row>
    <row r="12" spans="1:9" x14ac:dyDescent="0.25">
      <c r="A12" s="3">
        <v>10463</v>
      </c>
      <c r="B12" s="1">
        <v>44874</v>
      </c>
      <c r="C12" t="s">
        <v>14</v>
      </c>
      <c r="D12">
        <v>2.95</v>
      </c>
      <c r="E12">
        <v>677.97</v>
      </c>
      <c r="F12" t="s">
        <v>18</v>
      </c>
      <c r="G12" t="s">
        <v>22</v>
      </c>
      <c r="H12" t="s">
        <v>29</v>
      </c>
      <c r="I12" t="s">
        <v>27</v>
      </c>
    </row>
    <row r="13" spans="1:9" x14ac:dyDescent="0.25">
      <c r="A13" s="3">
        <v>10464</v>
      </c>
      <c r="B13" s="1">
        <v>44874</v>
      </c>
      <c r="C13" t="s">
        <v>17</v>
      </c>
      <c r="D13">
        <v>4.99</v>
      </c>
      <c r="E13">
        <v>200.4</v>
      </c>
      <c r="F13" t="s">
        <v>18</v>
      </c>
      <c r="G13" t="s">
        <v>22</v>
      </c>
      <c r="H13" t="s">
        <v>30</v>
      </c>
      <c r="I13" t="s">
        <v>27</v>
      </c>
    </row>
    <row r="14" spans="1:9" x14ac:dyDescent="0.25">
      <c r="A14" s="3">
        <v>10465</v>
      </c>
      <c r="B14" s="1">
        <v>44875</v>
      </c>
      <c r="C14" t="s">
        <v>21</v>
      </c>
      <c r="D14">
        <v>12.99</v>
      </c>
      <c r="E14">
        <v>554.27</v>
      </c>
      <c r="F14" t="s">
        <v>18</v>
      </c>
      <c r="G14" t="s">
        <v>22</v>
      </c>
      <c r="H14" t="s">
        <v>31</v>
      </c>
      <c r="I14" t="s">
        <v>16</v>
      </c>
    </row>
    <row r="15" spans="1:9" x14ac:dyDescent="0.25">
      <c r="A15" s="3">
        <v>10466</v>
      </c>
      <c r="B15" s="1">
        <v>44875</v>
      </c>
      <c r="C15" t="s">
        <v>25</v>
      </c>
      <c r="D15">
        <v>9.9499999999999993</v>
      </c>
      <c r="E15">
        <v>201.01</v>
      </c>
      <c r="F15" t="s">
        <v>18</v>
      </c>
      <c r="G15" t="s">
        <v>22</v>
      </c>
      <c r="H15" t="s">
        <v>31</v>
      </c>
      <c r="I15" t="s">
        <v>16</v>
      </c>
    </row>
    <row r="16" spans="1:9" x14ac:dyDescent="0.25">
      <c r="A16" s="3">
        <v>10467</v>
      </c>
      <c r="B16" s="1">
        <v>44875</v>
      </c>
      <c r="C16" t="s">
        <v>9</v>
      </c>
      <c r="D16">
        <v>3.49</v>
      </c>
      <c r="E16">
        <v>573.07000000000005</v>
      </c>
      <c r="F16" t="s">
        <v>18</v>
      </c>
      <c r="G16" t="s">
        <v>22</v>
      </c>
      <c r="H16" t="s">
        <v>31</v>
      </c>
      <c r="I16" t="s">
        <v>16</v>
      </c>
    </row>
    <row r="17" spans="1:9" x14ac:dyDescent="0.25">
      <c r="A17" s="3">
        <v>10468</v>
      </c>
      <c r="B17" s="1">
        <v>44875</v>
      </c>
      <c r="C17" t="s">
        <v>14</v>
      </c>
      <c r="D17">
        <v>2.95</v>
      </c>
      <c r="E17">
        <v>677.97</v>
      </c>
      <c r="F17" t="s">
        <v>18</v>
      </c>
      <c r="G17" t="s">
        <v>22</v>
      </c>
      <c r="H17" t="s">
        <v>15</v>
      </c>
      <c r="I17" t="s">
        <v>16</v>
      </c>
    </row>
    <row r="18" spans="1:9" x14ac:dyDescent="0.25">
      <c r="A18" s="3">
        <v>10470</v>
      </c>
      <c r="B18" s="1">
        <v>44876</v>
      </c>
      <c r="C18" t="s">
        <v>21</v>
      </c>
      <c r="D18">
        <v>12.99</v>
      </c>
      <c r="E18">
        <v>554.27</v>
      </c>
      <c r="F18" t="s">
        <v>18</v>
      </c>
      <c r="G18" t="s">
        <v>22</v>
      </c>
      <c r="H18" t="s">
        <v>15</v>
      </c>
      <c r="I18" t="s">
        <v>16</v>
      </c>
    </row>
    <row r="19" spans="1:9" x14ac:dyDescent="0.25">
      <c r="A19" s="3">
        <v>10471</v>
      </c>
      <c r="B19" s="1">
        <v>44876</v>
      </c>
      <c r="C19" t="s">
        <v>25</v>
      </c>
      <c r="D19">
        <v>9.9499999999999993</v>
      </c>
      <c r="E19">
        <v>201.01</v>
      </c>
      <c r="F19" t="s">
        <v>18</v>
      </c>
      <c r="G19" t="s">
        <v>22</v>
      </c>
      <c r="H19" t="s">
        <v>15</v>
      </c>
      <c r="I19" t="s">
        <v>16</v>
      </c>
    </row>
    <row r="20" spans="1:9" x14ac:dyDescent="0.25">
      <c r="A20" s="3">
        <v>10472</v>
      </c>
      <c r="B20" s="1">
        <v>44876</v>
      </c>
      <c r="C20" t="s">
        <v>9</v>
      </c>
      <c r="D20">
        <v>3.49</v>
      </c>
      <c r="E20">
        <v>630.37</v>
      </c>
      <c r="F20" t="s">
        <v>18</v>
      </c>
      <c r="G20" t="s">
        <v>22</v>
      </c>
      <c r="H20" t="s">
        <v>32</v>
      </c>
      <c r="I20" t="s">
        <v>16</v>
      </c>
    </row>
    <row r="21" spans="1:9" x14ac:dyDescent="0.25">
      <c r="A21" s="3">
        <v>10473</v>
      </c>
      <c r="B21" s="1">
        <v>44876</v>
      </c>
      <c r="C21" t="s">
        <v>14</v>
      </c>
      <c r="D21">
        <v>2.95</v>
      </c>
      <c r="E21">
        <v>677.97</v>
      </c>
      <c r="F21" t="s">
        <v>18</v>
      </c>
      <c r="G21" t="s">
        <v>22</v>
      </c>
      <c r="H21" t="s">
        <v>15</v>
      </c>
      <c r="I21" t="s">
        <v>16</v>
      </c>
    </row>
    <row r="22" spans="1:9" x14ac:dyDescent="0.25">
      <c r="A22" s="3">
        <v>10474</v>
      </c>
      <c r="B22" s="1">
        <v>44876</v>
      </c>
      <c r="C22" t="s">
        <v>17</v>
      </c>
      <c r="D22">
        <v>4.99</v>
      </c>
      <c r="E22">
        <v>200.4</v>
      </c>
      <c r="F22" t="s">
        <v>18</v>
      </c>
      <c r="G22" t="s">
        <v>22</v>
      </c>
      <c r="H22" t="s">
        <v>15</v>
      </c>
      <c r="I22" t="s">
        <v>16</v>
      </c>
    </row>
    <row r="23" spans="1:9" x14ac:dyDescent="0.25">
      <c r="A23" s="3">
        <v>10475</v>
      </c>
      <c r="B23" s="1">
        <v>44877</v>
      </c>
      <c r="C23" t="s">
        <v>21</v>
      </c>
      <c r="D23">
        <v>12.99</v>
      </c>
      <c r="E23">
        <v>523.48</v>
      </c>
      <c r="F23" t="s">
        <v>18</v>
      </c>
      <c r="G23" t="s">
        <v>22</v>
      </c>
      <c r="H23" t="s">
        <v>15</v>
      </c>
      <c r="I23" t="s">
        <v>16</v>
      </c>
    </row>
    <row r="24" spans="1:9" x14ac:dyDescent="0.25">
      <c r="A24" s="3">
        <v>10476</v>
      </c>
      <c r="B24" s="1">
        <v>44877</v>
      </c>
      <c r="C24" t="s">
        <v>25</v>
      </c>
      <c r="D24">
        <v>9.9499999999999993</v>
      </c>
      <c r="E24">
        <v>201.01</v>
      </c>
      <c r="F24" t="s">
        <v>18</v>
      </c>
      <c r="G24" t="s">
        <v>22</v>
      </c>
      <c r="H24" t="s">
        <v>31</v>
      </c>
      <c r="I24" t="s">
        <v>16</v>
      </c>
    </row>
    <row r="25" spans="1:9" x14ac:dyDescent="0.25">
      <c r="A25" s="3">
        <v>10477</v>
      </c>
      <c r="B25" s="1">
        <v>44877</v>
      </c>
      <c r="C25" t="s">
        <v>9</v>
      </c>
      <c r="D25">
        <v>3.49</v>
      </c>
      <c r="E25">
        <v>630.37</v>
      </c>
      <c r="F25" t="s">
        <v>18</v>
      </c>
      <c r="G25" t="s">
        <v>22</v>
      </c>
      <c r="H25" t="s">
        <v>33</v>
      </c>
      <c r="I25" t="s">
        <v>16</v>
      </c>
    </row>
    <row r="26" spans="1:9" x14ac:dyDescent="0.25">
      <c r="A26" s="3">
        <v>10478</v>
      </c>
      <c r="B26" s="1">
        <v>44877</v>
      </c>
      <c r="C26" t="s">
        <v>14</v>
      </c>
      <c r="D26">
        <v>2.95</v>
      </c>
      <c r="E26">
        <v>677.97</v>
      </c>
      <c r="F26" t="s">
        <v>18</v>
      </c>
      <c r="G26" t="s">
        <v>22</v>
      </c>
      <c r="H26" t="s">
        <v>31</v>
      </c>
      <c r="I26" t="s">
        <v>16</v>
      </c>
    </row>
    <row r="27" spans="1:9" x14ac:dyDescent="0.25">
      <c r="A27" s="3">
        <v>10479</v>
      </c>
      <c r="B27" s="1">
        <v>44877</v>
      </c>
      <c r="C27" t="s">
        <v>17</v>
      </c>
      <c r="D27">
        <v>4.99</v>
      </c>
      <c r="E27">
        <v>200.4</v>
      </c>
      <c r="F27" t="s">
        <v>18</v>
      </c>
      <c r="G27" t="s">
        <v>22</v>
      </c>
      <c r="H27" t="s">
        <v>34</v>
      </c>
      <c r="I27" t="s">
        <v>16</v>
      </c>
    </row>
    <row r="28" spans="1:9" x14ac:dyDescent="0.25">
      <c r="A28" s="3">
        <v>10480</v>
      </c>
      <c r="B28" s="1">
        <v>44878</v>
      </c>
      <c r="C28" t="s">
        <v>21</v>
      </c>
      <c r="D28">
        <v>12.99</v>
      </c>
      <c r="E28">
        <v>508.08</v>
      </c>
      <c r="F28" t="s">
        <v>18</v>
      </c>
      <c r="G28" t="s">
        <v>22</v>
      </c>
      <c r="H28" t="s">
        <v>31</v>
      </c>
      <c r="I28" t="s">
        <v>16</v>
      </c>
    </row>
    <row r="29" spans="1:9" x14ac:dyDescent="0.25">
      <c r="A29" s="3">
        <v>10481</v>
      </c>
      <c r="B29" s="1">
        <v>44878</v>
      </c>
      <c r="C29" t="s">
        <v>25</v>
      </c>
      <c r="D29">
        <v>9.9499999999999993</v>
      </c>
      <c r="E29">
        <v>201.01</v>
      </c>
      <c r="F29" t="s">
        <v>18</v>
      </c>
      <c r="G29" t="s">
        <v>22</v>
      </c>
      <c r="H29" t="s">
        <v>31</v>
      </c>
      <c r="I29" t="s">
        <v>16</v>
      </c>
    </row>
    <row r="30" spans="1:9" x14ac:dyDescent="0.25">
      <c r="A30" s="3">
        <v>10482</v>
      </c>
      <c r="B30" s="1">
        <v>44878</v>
      </c>
      <c r="C30" t="s">
        <v>9</v>
      </c>
      <c r="D30">
        <v>25.5</v>
      </c>
      <c r="E30">
        <v>630.37</v>
      </c>
      <c r="F30" t="s">
        <v>18</v>
      </c>
      <c r="G30" t="s">
        <v>22</v>
      </c>
      <c r="H30" t="s">
        <v>35</v>
      </c>
      <c r="I30" t="s">
        <v>20</v>
      </c>
    </row>
    <row r="31" spans="1:9" x14ac:dyDescent="0.25">
      <c r="A31" s="3">
        <v>10486</v>
      </c>
      <c r="B31" s="1">
        <v>44879</v>
      </c>
      <c r="C31" t="s">
        <v>25</v>
      </c>
      <c r="D31">
        <v>29.05</v>
      </c>
      <c r="E31">
        <v>201.01</v>
      </c>
      <c r="F31" t="s">
        <v>18</v>
      </c>
      <c r="G31" t="s">
        <v>22</v>
      </c>
      <c r="H31" t="s">
        <v>19</v>
      </c>
      <c r="I31" t="s">
        <v>20</v>
      </c>
    </row>
    <row r="32" spans="1:9" x14ac:dyDescent="0.25">
      <c r="A32" s="3">
        <v>10487</v>
      </c>
      <c r="B32" s="1">
        <v>44879</v>
      </c>
      <c r="C32" t="s">
        <v>9</v>
      </c>
      <c r="D32">
        <v>3.49</v>
      </c>
      <c r="E32">
        <v>630.37</v>
      </c>
      <c r="F32" t="s">
        <v>18</v>
      </c>
      <c r="G32" t="s">
        <v>22</v>
      </c>
      <c r="H32" t="s">
        <v>35</v>
      </c>
      <c r="I32" t="s">
        <v>20</v>
      </c>
    </row>
    <row r="33" spans="1:9" x14ac:dyDescent="0.25">
      <c r="A33" s="3">
        <v>10488</v>
      </c>
      <c r="B33" s="1">
        <v>44879</v>
      </c>
      <c r="C33" t="s">
        <v>14</v>
      </c>
      <c r="D33">
        <v>2.95</v>
      </c>
      <c r="E33">
        <v>677.97</v>
      </c>
      <c r="F33" t="s">
        <v>18</v>
      </c>
      <c r="G33" t="s">
        <v>22</v>
      </c>
      <c r="H33" t="s">
        <v>35</v>
      </c>
      <c r="I33" t="s">
        <v>20</v>
      </c>
    </row>
    <row r="34" spans="1:9" x14ac:dyDescent="0.25">
      <c r="A34" s="3">
        <v>10489</v>
      </c>
      <c r="B34" s="1">
        <v>44879</v>
      </c>
      <c r="C34" t="s">
        <v>17</v>
      </c>
      <c r="D34">
        <v>4.99</v>
      </c>
      <c r="E34">
        <v>200.4</v>
      </c>
      <c r="F34" t="s">
        <v>18</v>
      </c>
      <c r="G34" t="s">
        <v>22</v>
      </c>
      <c r="H34" t="s">
        <v>31</v>
      </c>
      <c r="I34" t="s">
        <v>16</v>
      </c>
    </row>
    <row r="35" spans="1:9" x14ac:dyDescent="0.25">
      <c r="A35" s="3">
        <v>10490</v>
      </c>
      <c r="B35" s="1">
        <v>44880</v>
      </c>
      <c r="C35" t="s">
        <v>21</v>
      </c>
      <c r="D35">
        <v>12.99</v>
      </c>
      <c r="E35">
        <v>508.08</v>
      </c>
      <c r="F35" t="s">
        <v>18</v>
      </c>
      <c r="G35" t="s">
        <v>22</v>
      </c>
      <c r="H35" t="s">
        <v>31</v>
      </c>
      <c r="I35" t="s">
        <v>16</v>
      </c>
    </row>
    <row r="36" spans="1:9" x14ac:dyDescent="0.25">
      <c r="A36" s="3">
        <v>10491</v>
      </c>
      <c r="B36" s="1">
        <v>44880</v>
      </c>
      <c r="C36" t="s">
        <v>25</v>
      </c>
      <c r="D36">
        <v>9.9499999999999993</v>
      </c>
      <c r="E36">
        <v>201.01</v>
      </c>
      <c r="F36" t="s">
        <v>18</v>
      </c>
      <c r="G36" t="s">
        <v>22</v>
      </c>
      <c r="H36" t="s">
        <v>31</v>
      </c>
      <c r="I36" t="s">
        <v>16</v>
      </c>
    </row>
    <row r="37" spans="1:9" x14ac:dyDescent="0.25">
      <c r="A37" s="3">
        <v>10492</v>
      </c>
      <c r="B37" s="1">
        <v>44880</v>
      </c>
      <c r="C37" t="s">
        <v>9</v>
      </c>
      <c r="D37">
        <v>3.49</v>
      </c>
      <c r="E37">
        <v>573.07000000000005</v>
      </c>
      <c r="F37" t="s">
        <v>18</v>
      </c>
      <c r="G37" t="s">
        <v>22</v>
      </c>
      <c r="H37" t="s">
        <v>31</v>
      </c>
      <c r="I37" t="s">
        <v>16</v>
      </c>
    </row>
    <row r="38" spans="1:9" x14ac:dyDescent="0.25">
      <c r="A38" s="3">
        <v>10493</v>
      </c>
      <c r="B38" s="1">
        <v>44880</v>
      </c>
      <c r="C38" t="s">
        <v>14</v>
      </c>
      <c r="D38">
        <v>2.95</v>
      </c>
      <c r="E38">
        <v>677.97</v>
      </c>
      <c r="F38" t="s">
        <v>18</v>
      </c>
      <c r="G38" t="s">
        <v>22</v>
      </c>
      <c r="H38" t="s">
        <v>31</v>
      </c>
      <c r="I38" t="s">
        <v>16</v>
      </c>
    </row>
    <row r="39" spans="1:9" x14ac:dyDescent="0.25">
      <c r="A39" s="3">
        <v>10494</v>
      </c>
      <c r="B39" s="1">
        <v>44880</v>
      </c>
      <c r="C39" t="s">
        <v>17</v>
      </c>
      <c r="D39">
        <v>4.99</v>
      </c>
      <c r="E39">
        <v>200.4</v>
      </c>
      <c r="F39" t="s">
        <v>18</v>
      </c>
      <c r="G39" t="s">
        <v>22</v>
      </c>
      <c r="H39" t="s">
        <v>31</v>
      </c>
      <c r="I39" t="s">
        <v>16</v>
      </c>
    </row>
    <row r="40" spans="1:9" x14ac:dyDescent="0.25">
      <c r="A40" s="3">
        <v>10495</v>
      </c>
      <c r="B40" s="1">
        <v>44881</v>
      </c>
      <c r="C40" t="s">
        <v>21</v>
      </c>
      <c r="D40">
        <v>12.99</v>
      </c>
      <c r="E40">
        <v>508.08</v>
      </c>
      <c r="F40" t="s">
        <v>18</v>
      </c>
      <c r="G40" t="s">
        <v>22</v>
      </c>
      <c r="H40" t="s">
        <v>31</v>
      </c>
      <c r="I40" t="s">
        <v>16</v>
      </c>
    </row>
    <row r="41" spans="1:9" x14ac:dyDescent="0.25">
      <c r="A41" s="3">
        <v>10496</v>
      </c>
      <c r="B41" s="1">
        <v>44881</v>
      </c>
      <c r="C41" t="s">
        <v>25</v>
      </c>
      <c r="D41">
        <v>9.9499999999999993</v>
      </c>
      <c r="E41">
        <v>201.01</v>
      </c>
      <c r="F41" t="s">
        <v>18</v>
      </c>
      <c r="G41" t="s">
        <v>22</v>
      </c>
      <c r="H41" t="s">
        <v>31</v>
      </c>
      <c r="I41" t="s">
        <v>16</v>
      </c>
    </row>
    <row r="42" spans="1:9" x14ac:dyDescent="0.25">
      <c r="A42" s="3">
        <v>10497</v>
      </c>
      <c r="B42" s="1">
        <v>44881</v>
      </c>
      <c r="C42" t="s">
        <v>9</v>
      </c>
      <c r="D42">
        <v>3.49</v>
      </c>
      <c r="E42">
        <v>573.07000000000005</v>
      </c>
      <c r="F42" t="s">
        <v>18</v>
      </c>
      <c r="G42" t="s">
        <v>22</v>
      </c>
      <c r="H42" t="s">
        <v>31</v>
      </c>
      <c r="I42" t="s">
        <v>16</v>
      </c>
    </row>
    <row r="43" spans="1:9" x14ac:dyDescent="0.25">
      <c r="A43" s="3">
        <v>10498</v>
      </c>
      <c r="B43" s="1">
        <v>44881</v>
      </c>
      <c r="C43" t="s">
        <v>14</v>
      </c>
      <c r="D43">
        <v>2.95</v>
      </c>
      <c r="E43">
        <v>677.97</v>
      </c>
      <c r="F43" t="s">
        <v>36</v>
      </c>
      <c r="G43" t="s">
        <v>22</v>
      </c>
      <c r="H43" t="s">
        <v>31</v>
      </c>
      <c r="I43" t="s">
        <v>16</v>
      </c>
    </row>
    <row r="44" spans="1:9" x14ac:dyDescent="0.25">
      <c r="A44" s="3">
        <v>10499</v>
      </c>
      <c r="B44" s="1">
        <v>44881</v>
      </c>
      <c r="C44" t="s">
        <v>17</v>
      </c>
      <c r="D44">
        <v>4.99</v>
      </c>
      <c r="E44">
        <v>200.4</v>
      </c>
      <c r="F44" t="s">
        <v>36</v>
      </c>
      <c r="G44" t="s">
        <v>22</v>
      </c>
      <c r="H44" t="s">
        <v>31</v>
      </c>
      <c r="I44" t="s">
        <v>16</v>
      </c>
    </row>
    <row r="45" spans="1:9" x14ac:dyDescent="0.25">
      <c r="A45" s="3">
        <v>10500</v>
      </c>
      <c r="B45" s="1">
        <v>44882</v>
      </c>
      <c r="C45" t="s">
        <v>21</v>
      </c>
      <c r="D45">
        <v>12.99</v>
      </c>
      <c r="E45">
        <v>523.48</v>
      </c>
      <c r="F45" t="s">
        <v>36</v>
      </c>
      <c r="G45" t="s">
        <v>22</v>
      </c>
      <c r="H45" t="s">
        <v>31</v>
      </c>
      <c r="I45" t="s">
        <v>16</v>
      </c>
    </row>
    <row r="46" spans="1:9" x14ac:dyDescent="0.25">
      <c r="A46" s="3">
        <v>10501</v>
      </c>
      <c r="B46" s="1">
        <v>44882</v>
      </c>
      <c r="C46" t="s">
        <v>25</v>
      </c>
      <c r="D46">
        <v>9.9499999999999993</v>
      </c>
      <c r="E46">
        <v>201.01</v>
      </c>
      <c r="F46" t="s">
        <v>36</v>
      </c>
      <c r="G46" t="s">
        <v>22</v>
      </c>
      <c r="H46" t="s">
        <v>31</v>
      </c>
      <c r="I46" t="s">
        <v>16</v>
      </c>
    </row>
    <row r="47" spans="1:9" x14ac:dyDescent="0.25">
      <c r="A47" s="3">
        <v>10502</v>
      </c>
      <c r="B47" s="1">
        <v>44882</v>
      </c>
      <c r="C47" t="s">
        <v>9</v>
      </c>
      <c r="D47">
        <v>3.49</v>
      </c>
      <c r="E47">
        <v>630.37</v>
      </c>
      <c r="F47" t="s">
        <v>36</v>
      </c>
      <c r="G47" t="s">
        <v>22</v>
      </c>
      <c r="H47" t="s">
        <v>31</v>
      </c>
      <c r="I47" t="s">
        <v>16</v>
      </c>
    </row>
    <row r="48" spans="1:9" x14ac:dyDescent="0.25">
      <c r="A48" s="3">
        <v>10503</v>
      </c>
      <c r="B48" s="1">
        <v>44882</v>
      </c>
      <c r="C48" t="s">
        <v>14</v>
      </c>
      <c r="D48">
        <v>2.95</v>
      </c>
      <c r="E48">
        <v>677.97</v>
      </c>
      <c r="F48" t="s">
        <v>36</v>
      </c>
      <c r="G48" t="s">
        <v>22</v>
      </c>
      <c r="H48" t="s">
        <v>31</v>
      </c>
      <c r="I48" t="s">
        <v>16</v>
      </c>
    </row>
    <row r="49" spans="1:9" x14ac:dyDescent="0.25">
      <c r="A49" s="3">
        <v>10504</v>
      </c>
      <c r="B49" s="1">
        <v>44882</v>
      </c>
      <c r="C49" t="s">
        <v>17</v>
      </c>
      <c r="D49">
        <v>4.99</v>
      </c>
      <c r="E49">
        <v>200.4</v>
      </c>
      <c r="F49" t="s">
        <v>36</v>
      </c>
      <c r="G49" t="s">
        <v>22</v>
      </c>
      <c r="H49" t="s">
        <v>31</v>
      </c>
      <c r="I49" t="s">
        <v>16</v>
      </c>
    </row>
    <row r="50" spans="1:9" x14ac:dyDescent="0.25">
      <c r="A50" s="3">
        <v>10505</v>
      </c>
      <c r="B50" s="1">
        <v>44883</v>
      </c>
      <c r="C50" t="s">
        <v>21</v>
      </c>
      <c r="D50">
        <v>12.99</v>
      </c>
      <c r="E50">
        <v>538.88</v>
      </c>
      <c r="F50" t="s">
        <v>36</v>
      </c>
      <c r="G50" t="s">
        <v>22</v>
      </c>
      <c r="H50" t="s">
        <v>31</v>
      </c>
      <c r="I50" t="s">
        <v>16</v>
      </c>
    </row>
    <row r="51" spans="1:9" x14ac:dyDescent="0.25">
      <c r="A51" s="3">
        <v>10506</v>
      </c>
      <c r="B51" s="1">
        <v>44883</v>
      </c>
      <c r="C51" t="s">
        <v>25</v>
      </c>
      <c r="D51">
        <v>9.9499999999999993</v>
      </c>
      <c r="E51">
        <v>201.01</v>
      </c>
      <c r="F51" t="s">
        <v>36</v>
      </c>
      <c r="G51" t="s">
        <v>22</v>
      </c>
      <c r="H51" t="s">
        <v>31</v>
      </c>
      <c r="I51" t="s">
        <v>16</v>
      </c>
    </row>
    <row r="52" spans="1:9" x14ac:dyDescent="0.25">
      <c r="A52" s="3">
        <v>10507</v>
      </c>
      <c r="B52" s="1">
        <v>44883</v>
      </c>
      <c r="C52" t="s">
        <v>9</v>
      </c>
      <c r="D52">
        <v>3.49</v>
      </c>
      <c r="E52">
        <v>687.68</v>
      </c>
      <c r="F52" t="s">
        <v>36</v>
      </c>
      <c r="G52" t="s">
        <v>22</v>
      </c>
      <c r="H52" t="s">
        <v>31</v>
      </c>
      <c r="I52" t="s">
        <v>16</v>
      </c>
    </row>
    <row r="53" spans="1:9" x14ac:dyDescent="0.25">
      <c r="A53" s="3">
        <v>10508</v>
      </c>
      <c r="B53" s="1">
        <v>44883</v>
      </c>
      <c r="C53" t="s">
        <v>14</v>
      </c>
      <c r="D53">
        <v>2.95</v>
      </c>
      <c r="E53">
        <v>677.97</v>
      </c>
      <c r="F53" t="s">
        <v>36</v>
      </c>
      <c r="G53" t="s">
        <v>22</v>
      </c>
      <c r="H53" t="s">
        <v>31</v>
      </c>
      <c r="I53" t="s">
        <v>16</v>
      </c>
    </row>
    <row r="54" spans="1:9" x14ac:dyDescent="0.25">
      <c r="A54" s="3">
        <v>10509</v>
      </c>
      <c r="B54" s="1">
        <v>44883</v>
      </c>
      <c r="C54" t="s">
        <v>17</v>
      </c>
      <c r="D54">
        <v>4.99</v>
      </c>
      <c r="E54">
        <v>200.4</v>
      </c>
      <c r="F54" t="s">
        <v>36</v>
      </c>
      <c r="G54" t="s">
        <v>22</v>
      </c>
      <c r="H54" t="s">
        <v>31</v>
      </c>
      <c r="I54" t="s">
        <v>16</v>
      </c>
    </row>
    <row r="55" spans="1:9" x14ac:dyDescent="0.25">
      <c r="A55" s="3">
        <v>10510</v>
      </c>
      <c r="B55" s="1">
        <v>44884</v>
      </c>
      <c r="C55" t="s">
        <v>21</v>
      </c>
      <c r="D55">
        <v>12.99</v>
      </c>
      <c r="E55">
        <v>508.08</v>
      </c>
      <c r="F55" t="s">
        <v>36</v>
      </c>
      <c r="G55" t="s">
        <v>22</v>
      </c>
      <c r="H55" t="s">
        <v>31</v>
      </c>
      <c r="I55" t="s">
        <v>16</v>
      </c>
    </row>
    <row r="56" spans="1:9" x14ac:dyDescent="0.25">
      <c r="A56" s="3">
        <v>10511</v>
      </c>
      <c r="B56" s="1">
        <v>44884</v>
      </c>
      <c r="C56" t="s">
        <v>25</v>
      </c>
      <c r="D56">
        <v>9.9499999999999993</v>
      </c>
      <c r="E56">
        <v>201.01</v>
      </c>
      <c r="F56" t="s">
        <v>36</v>
      </c>
      <c r="G56" t="s">
        <v>22</v>
      </c>
      <c r="H56" t="s">
        <v>35</v>
      </c>
      <c r="I56" t="s">
        <v>20</v>
      </c>
    </row>
    <row r="57" spans="1:9" x14ac:dyDescent="0.25">
      <c r="A57" s="3">
        <v>10512</v>
      </c>
      <c r="B57" s="1">
        <v>44884</v>
      </c>
      <c r="C57" t="s">
        <v>9</v>
      </c>
      <c r="D57">
        <v>3.49</v>
      </c>
      <c r="E57">
        <v>687.68</v>
      </c>
      <c r="F57" t="s">
        <v>36</v>
      </c>
      <c r="G57" t="s">
        <v>22</v>
      </c>
      <c r="H57" t="s">
        <v>35</v>
      </c>
      <c r="I57" t="s">
        <v>20</v>
      </c>
    </row>
    <row r="58" spans="1:9" x14ac:dyDescent="0.25">
      <c r="A58" s="3">
        <v>10513</v>
      </c>
      <c r="B58" s="1">
        <v>44884</v>
      </c>
      <c r="C58" t="s">
        <v>14</v>
      </c>
      <c r="D58">
        <v>2.95</v>
      </c>
      <c r="E58">
        <v>677.97</v>
      </c>
      <c r="F58" t="s">
        <v>36</v>
      </c>
      <c r="G58" t="s">
        <v>37</v>
      </c>
      <c r="H58" t="s">
        <v>35</v>
      </c>
      <c r="I58" t="s">
        <v>20</v>
      </c>
    </row>
    <row r="59" spans="1:9" x14ac:dyDescent="0.25">
      <c r="A59" s="3">
        <v>10514</v>
      </c>
      <c r="B59" s="1">
        <v>44884</v>
      </c>
      <c r="C59" t="s">
        <v>17</v>
      </c>
      <c r="D59">
        <v>4.99</v>
      </c>
      <c r="E59">
        <v>200.4</v>
      </c>
      <c r="F59" t="s">
        <v>36</v>
      </c>
      <c r="G59" t="s">
        <v>37</v>
      </c>
      <c r="H59" t="s">
        <v>35</v>
      </c>
      <c r="I59" t="s">
        <v>20</v>
      </c>
    </row>
    <row r="60" spans="1:9" x14ac:dyDescent="0.25">
      <c r="A60" s="3">
        <v>10515</v>
      </c>
      <c r="B60" s="1">
        <v>44885</v>
      </c>
      <c r="C60" t="s">
        <v>21</v>
      </c>
      <c r="D60">
        <v>12.99</v>
      </c>
      <c r="E60">
        <v>477.29</v>
      </c>
      <c r="F60" t="s">
        <v>36</v>
      </c>
      <c r="G60" t="s">
        <v>37</v>
      </c>
      <c r="H60" t="s">
        <v>35</v>
      </c>
      <c r="I60" t="s">
        <v>20</v>
      </c>
    </row>
    <row r="61" spans="1:9" x14ac:dyDescent="0.25">
      <c r="A61" s="3">
        <v>10516</v>
      </c>
      <c r="B61" s="1">
        <v>44885</v>
      </c>
      <c r="C61" t="s">
        <v>25</v>
      </c>
      <c r="D61">
        <v>9.9499999999999993</v>
      </c>
      <c r="E61">
        <v>201.01</v>
      </c>
      <c r="F61" t="s">
        <v>36</v>
      </c>
      <c r="G61" t="s">
        <v>37</v>
      </c>
      <c r="H61" t="s">
        <v>35</v>
      </c>
      <c r="I61" t="s">
        <v>20</v>
      </c>
    </row>
    <row r="62" spans="1:9" x14ac:dyDescent="0.25">
      <c r="A62" s="3">
        <v>10483</v>
      </c>
      <c r="B62" s="1">
        <v>44878</v>
      </c>
      <c r="C62" t="s">
        <v>14</v>
      </c>
      <c r="D62">
        <v>2.95</v>
      </c>
      <c r="E62">
        <v>677.97</v>
      </c>
      <c r="F62" t="s">
        <v>18</v>
      </c>
      <c r="G62" t="s">
        <v>22</v>
      </c>
      <c r="H62" t="s">
        <v>19</v>
      </c>
      <c r="I62" t="s">
        <v>20</v>
      </c>
    </row>
    <row r="63" spans="1:9" x14ac:dyDescent="0.25">
      <c r="A63" s="3">
        <v>10484</v>
      </c>
      <c r="B63" s="1">
        <v>44878</v>
      </c>
      <c r="C63" t="s">
        <v>17</v>
      </c>
      <c r="D63">
        <v>4.99</v>
      </c>
      <c r="E63">
        <v>200.4</v>
      </c>
      <c r="F63" t="s">
        <v>18</v>
      </c>
      <c r="G63" t="s">
        <v>22</v>
      </c>
      <c r="H63" t="s">
        <v>19</v>
      </c>
      <c r="I63" t="s">
        <v>20</v>
      </c>
    </row>
    <row r="64" spans="1:9" x14ac:dyDescent="0.25">
      <c r="A64" s="3">
        <v>10485</v>
      </c>
      <c r="B64" s="1">
        <v>44879</v>
      </c>
      <c r="C64" t="s">
        <v>21</v>
      </c>
      <c r="D64">
        <v>12.99</v>
      </c>
      <c r="E64">
        <v>523.48</v>
      </c>
      <c r="F64" t="s">
        <v>18</v>
      </c>
      <c r="G64" t="s">
        <v>22</v>
      </c>
      <c r="H64" t="s">
        <v>19</v>
      </c>
      <c r="I64" t="s">
        <v>20</v>
      </c>
    </row>
    <row r="65" spans="1:9" x14ac:dyDescent="0.25">
      <c r="A65" s="3">
        <v>10520</v>
      </c>
      <c r="B65" s="1">
        <v>44886</v>
      </c>
      <c r="C65" t="s">
        <v>21</v>
      </c>
      <c r="D65">
        <v>12.99</v>
      </c>
      <c r="E65">
        <v>492.69</v>
      </c>
      <c r="F65" t="s">
        <v>36</v>
      </c>
      <c r="G65" t="s">
        <v>37</v>
      </c>
      <c r="H65" t="s">
        <v>28</v>
      </c>
      <c r="I65" t="s">
        <v>27</v>
      </c>
    </row>
    <row r="66" spans="1:9" x14ac:dyDescent="0.25">
      <c r="A66" s="3">
        <v>10521</v>
      </c>
      <c r="B66" s="1">
        <v>44886</v>
      </c>
      <c r="C66" t="s">
        <v>25</v>
      </c>
      <c r="D66">
        <v>9.9499999999999993</v>
      </c>
      <c r="E66">
        <v>201.01</v>
      </c>
      <c r="F66" t="s">
        <v>36</v>
      </c>
      <c r="G66" t="s">
        <v>37</v>
      </c>
      <c r="H66" t="s">
        <v>28</v>
      </c>
      <c r="I66" t="s">
        <v>27</v>
      </c>
    </row>
    <row r="67" spans="1:9" x14ac:dyDescent="0.25">
      <c r="A67" s="3">
        <v>10522</v>
      </c>
      <c r="B67" s="1">
        <v>44886</v>
      </c>
      <c r="C67" t="s">
        <v>9</v>
      </c>
      <c r="D67">
        <v>3.49</v>
      </c>
      <c r="E67">
        <v>687.68</v>
      </c>
      <c r="F67" t="s">
        <v>36</v>
      </c>
      <c r="G67" t="s">
        <v>37</v>
      </c>
      <c r="H67" t="s">
        <v>28</v>
      </c>
      <c r="I67" t="s">
        <v>27</v>
      </c>
    </row>
    <row r="68" spans="1:9" x14ac:dyDescent="0.25">
      <c r="A68" s="3">
        <v>10523</v>
      </c>
      <c r="B68" s="1">
        <v>44886</v>
      </c>
      <c r="C68" t="s">
        <v>14</v>
      </c>
      <c r="D68">
        <v>2.95</v>
      </c>
      <c r="E68">
        <v>745.76</v>
      </c>
      <c r="F68" t="s">
        <v>36</v>
      </c>
      <c r="G68" t="s">
        <v>37</v>
      </c>
      <c r="H68" t="s">
        <v>28</v>
      </c>
      <c r="I68" t="s">
        <v>27</v>
      </c>
    </row>
    <row r="69" spans="1:9" x14ac:dyDescent="0.25">
      <c r="A69" s="3">
        <v>10524</v>
      </c>
      <c r="B69" s="1">
        <v>44886</v>
      </c>
      <c r="C69" t="s">
        <v>17</v>
      </c>
      <c r="D69">
        <v>4.99</v>
      </c>
      <c r="E69">
        <v>200.4</v>
      </c>
      <c r="F69" t="s">
        <v>36</v>
      </c>
      <c r="G69" t="s">
        <v>37</v>
      </c>
      <c r="H69" t="s">
        <v>28</v>
      </c>
      <c r="I69" t="s">
        <v>27</v>
      </c>
    </row>
    <row r="70" spans="1:9" x14ac:dyDescent="0.25">
      <c r="A70" s="3">
        <v>10525</v>
      </c>
      <c r="B70" s="1">
        <v>44887</v>
      </c>
      <c r="C70" t="s">
        <v>21</v>
      </c>
      <c r="D70">
        <v>12.99</v>
      </c>
      <c r="E70">
        <v>461.89</v>
      </c>
      <c r="F70" t="s">
        <v>36</v>
      </c>
      <c r="G70" t="s">
        <v>37</v>
      </c>
      <c r="H70" t="s">
        <v>28</v>
      </c>
      <c r="I70" t="s">
        <v>27</v>
      </c>
    </row>
    <row r="71" spans="1:9" x14ac:dyDescent="0.25">
      <c r="A71" s="3">
        <v>10526</v>
      </c>
      <c r="B71" s="1">
        <v>44887</v>
      </c>
      <c r="C71" t="s">
        <v>25</v>
      </c>
      <c r="D71">
        <v>9.9499999999999993</v>
      </c>
      <c r="E71">
        <v>201.01</v>
      </c>
      <c r="F71" t="s">
        <v>36</v>
      </c>
      <c r="G71" t="s">
        <v>37</v>
      </c>
      <c r="H71" t="s">
        <v>28</v>
      </c>
      <c r="I71" t="s">
        <v>27</v>
      </c>
    </row>
    <row r="72" spans="1:9" x14ac:dyDescent="0.25">
      <c r="A72" s="3">
        <v>10527</v>
      </c>
      <c r="B72" s="1">
        <v>44887</v>
      </c>
      <c r="C72" t="s">
        <v>9</v>
      </c>
      <c r="D72">
        <v>3.49</v>
      </c>
      <c r="E72">
        <v>687.68</v>
      </c>
      <c r="F72" t="s">
        <v>36</v>
      </c>
      <c r="G72" t="s">
        <v>37</v>
      </c>
      <c r="H72" t="s">
        <v>28</v>
      </c>
      <c r="I72" t="s">
        <v>27</v>
      </c>
    </row>
    <row r="73" spans="1:9" x14ac:dyDescent="0.25">
      <c r="A73" s="3">
        <v>10528</v>
      </c>
      <c r="B73" s="1">
        <v>44887</v>
      </c>
      <c r="C73" t="s">
        <v>14</v>
      </c>
      <c r="D73">
        <v>2.95</v>
      </c>
      <c r="E73">
        <v>745.76</v>
      </c>
      <c r="F73" t="s">
        <v>36</v>
      </c>
      <c r="G73" t="s">
        <v>37</v>
      </c>
      <c r="H73" t="s">
        <v>28</v>
      </c>
      <c r="I73" t="s">
        <v>27</v>
      </c>
    </row>
    <row r="74" spans="1:9" x14ac:dyDescent="0.25">
      <c r="A74" s="3">
        <v>10529</v>
      </c>
      <c r="B74" s="1">
        <v>44887</v>
      </c>
      <c r="C74" t="s">
        <v>17</v>
      </c>
      <c r="D74">
        <v>4.99</v>
      </c>
      <c r="E74">
        <v>200.4</v>
      </c>
      <c r="F74" t="s">
        <v>36</v>
      </c>
      <c r="G74" t="s">
        <v>37</v>
      </c>
      <c r="H74" t="s">
        <v>28</v>
      </c>
      <c r="I74" t="s">
        <v>27</v>
      </c>
    </row>
    <row r="75" spans="1:9" x14ac:dyDescent="0.25">
      <c r="A75" s="3">
        <v>10530</v>
      </c>
      <c r="B75" s="1">
        <v>44888</v>
      </c>
      <c r="C75" t="s">
        <v>21</v>
      </c>
      <c r="D75">
        <v>12.99</v>
      </c>
      <c r="E75">
        <v>477.29</v>
      </c>
      <c r="F75" t="s">
        <v>36</v>
      </c>
      <c r="G75" t="s">
        <v>37</v>
      </c>
      <c r="H75" t="s">
        <v>28</v>
      </c>
      <c r="I75" t="s">
        <v>27</v>
      </c>
    </row>
    <row r="76" spans="1:9" x14ac:dyDescent="0.25">
      <c r="A76" s="3">
        <v>10531</v>
      </c>
      <c r="B76" s="1">
        <v>44888</v>
      </c>
      <c r="C76" t="s">
        <v>25</v>
      </c>
      <c r="D76">
        <v>9.9499999999999993</v>
      </c>
      <c r="E76">
        <v>201.01</v>
      </c>
      <c r="F76" t="s">
        <v>36</v>
      </c>
      <c r="G76" t="s">
        <v>37</v>
      </c>
      <c r="H76" t="s">
        <v>28</v>
      </c>
      <c r="I76" t="s">
        <v>27</v>
      </c>
    </row>
    <row r="77" spans="1:9" x14ac:dyDescent="0.25">
      <c r="A77" s="3">
        <v>10532</v>
      </c>
      <c r="B77" s="1">
        <v>44888</v>
      </c>
      <c r="C77" t="s">
        <v>9</v>
      </c>
      <c r="D77">
        <v>3.49</v>
      </c>
      <c r="E77">
        <v>687.68</v>
      </c>
      <c r="F77" t="s">
        <v>36</v>
      </c>
      <c r="G77" t="s">
        <v>37</v>
      </c>
      <c r="H77" t="s">
        <v>35</v>
      </c>
      <c r="I77" t="s">
        <v>20</v>
      </c>
    </row>
    <row r="78" spans="1:9" x14ac:dyDescent="0.25">
      <c r="A78" s="3">
        <v>10533</v>
      </c>
      <c r="B78" s="1">
        <v>44888</v>
      </c>
      <c r="C78" t="s">
        <v>14</v>
      </c>
      <c r="D78">
        <v>2.95</v>
      </c>
      <c r="E78">
        <v>745.76</v>
      </c>
      <c r="F78" t="s">
        <v>36</v>
      </c>
      <c r="G78" t="s">
        <v>37</v>
      </c>
      <c r="H78" t="s">
        <v>35</v>
      </c>
      <c r="I78" t="s">
        <v>20</v>
      </c>
    </row>
    <row r="79" spans="1:9" x14ac:dyDescent="0.25">
      <c r="A79" s="3">
        <v>10534</v>
      </c>
      <c r="B79" s="1">
        <v>44888</v>
      </c>
      <c r="C79" t="s">
        <v>17</v>
      </c>
      <c r="D79">
        <v>4.99</v>
      </c>
      <c r="E79">
        <v>200.4</v>
      </c>
      <c r="F79" t="s">
        <v>36</v>
      </c>
      <c r="G79" t="s">
        <v>37</v>
      </c>
      <c r="H79" t="s">
        <v>31</v>
      </c>
      <c r="I79" t="s">
        <v>16</v>
      </c>
    </row>
    <row r="80" spans="1:9" x14ac:dyDescent="0.25">
      <c r="A80" s="3">
        <v>10535</v>
      </c>
      <c r="B80" s="1">
        <v>44889</v>
      </c>
      <c r="C80" t="s">
        <v>21</v>
      </c>
      <c r="D80">
        <v>12.99</v>
      </c>
      <c r="E80">
        <v>477.29</v>
      </c>
      <c r="F80" t="s">
        <v>36</v>
      </c>
      <c r="G80" t="s">
        <v>22</v>
      </c>
      <c r="H80" t="s">
        <v>31</v>
      </c>
      <c r="I80" t="s">
        <v>16</v>
      </c>
    </row>
    <row r="81" spans="1:9" x14ac:dyDescent="0.25">
      <c r="A81" s="3">
        <v>10536</v>
      </c>
      <c r="B81" s="1">
        <v>44889</v>
      </c>
      <c r="C81" t="s">
        <v>25</v>
      </c>
      <c r="D81">
        <v>9.9499999999999993</v>
      </c>
      <c r="E81">
        <v>201.01</v>
      </c>
      <c r="F81" t="s">
        <v>36</v>
      </c>
      <c r="G81" t="s">
        <v>22</v>
      </c>
      <c r="H81" t="s">
        <v>31</v>
      </c>
      <c r="I81" t="s">
        <v>16</v>
      </c>
    </row>
    <row r="82" spans="1:9" x14ac:dyDescent="0.25">
      <c r="A82" s="3">
        <v>10540</v>
      </c>
      <c r="B82" s="1">
        <v>44890</v>
      </c>
      <c r="C82" t="s">
        <v>21</v>
      </c>
      <c r="D82">
        <v>12.99</v>
      </c>
      <c r="E82">
        <v>461.89</v>
      </c>
      <c r="F82" t="s">
        <v>36</v>
      </c>
      <c r="G82" t="s">
        <v>22</v>
      </c>
      <c r="H82" t="s">
        <v>31</v>
      </c>
      <c r="I82" t="s">
        <v>16</v>
      </c>
    </row>
    <row r="83" spans="1:9" x14ac:dyDescent="0.25">
      <c r="A83" s="3">
        <v>10541</v>
      </c>
      <c r="B83" s="1">
        <v>44890</v>
      </c>
      <c r="C83" t="s">
        <v>25</v>
      </c>
      <c r="D83">
        <v>9.9499999999999993</v>
      </c>
      <c r="E83">
        <v>201.01</v>
      </c>
      <c r="F83" t="s">
        <v>36</v>
      </c>
      <c r="G83" t="s">
        <v>22</v>
      </c>
      <c r="H83" t="s">
        <v>38</v>
      </c>
      <c r="I83" t="s">
        <v>13</v>
      </c>
    </row>
    <row r="84" spans="1:9" x14ac:dyDescent="0.25">
      <c r="A84" s="3">
        <v>10542</v>
      </c>
      <c r="B84" s="1">
        <v>44890</v>
      </c>
      <c r="C84" t="s">
        <v>9</v>
      </c>
      <c r="D84">
        <v>3.49</v>
      </c>
      <c r="E84">
        <v>630.37</v>
      </c>
      <c r="F84" t="s">
        <v>36</v>
      </c>
      <c r="G84" t="s">
        <v>22</v>
      </c>
      <c r="H84" t="s">
        <v>38</v>
      </c>
      <c r="I84" t="s">
        <v>13</v>
      </c>
    </row>
    <row r="85" spans="1:9" x14ac:dyDescent="0.25">
      <c r="A85" s="3">
        <v>10543</v>
      </c>
      <c r="B85" s="1">
        <v>44890</v>
      </c>
      <c r="C85" t="s">
        <v>14</v>
      </c>
      <c r="D85">
        <v>2.95</v>
      </c>
      <c r="E85">
        <v>745.76</v>
      </c>
      <c r="F85" t="s">
        <v>36</v>
      </c>
      <c r="G85" t="s">
        <v>22</v>
      </c>
      <c r="H85" t="s">
        <v>38</v>
      </c>
      <c r="I85" t="s">
        <v>13</v>
      </c>
    </row>
    <row r="86" spans="1:9" x14ac:dyDescent="0.25">
      <c r="A86" s="3">
        <v>10544</v>
      </c>
      <c r="B86" s="1">
        <v>44890</v>
      </c>
      <c r="C86" t="s">
        <v>17</v>
      </c>
      <c r="D86">
        <v>4.99</v>
      </c>
      <c r="E86">
        <v>200.4</v>
      </c>
      <c r="F86" t="s">
        <v>36</v>
      </c>
      <c r="G86" t="s">
        <v>22</v>
      </c>
      <c r="H86" t="s">
        <v>38</v>
      </c>
      <c r="I86" t="s">
        <v>13</v>
      </c>
    </row>
    <row r="87" spans="1:9" x14ac:dyDescent="0.25">
      <c r="A87" s="3">
        <v>10545</v>
      </c>
      <c r="B87" s="1">
        <v>44891</v>
      </c>
      <c r="C87" t="s">
        <v>21</v>
      </c>
      <c r="D87">
        <v>12.99</v>
      </c>
      <c r="E87">
        <v>446.5</v>
      </c>
      <c r="F87" t="s">
        <v>36</v>
      </c>
      <c r="G87" t="s">
        <v>22</v>
      </c>
      <c r="H87" t="s">
        <v>38</v>
      </c>
      <c r="I87" t="s">
        <v>13</v>
      </c>
    </row>
    <row r="88" spans="1:9" x14ac:dyDescent="0.25">
      <c r="A88" s="3">
        <v>10546</v>
      </c>
      <c r="B88" s="1">
        <v>44891</v>
      </c>
      <c r="C88" t="s">
        <v>25</v>
      </c>
      <c r="D88">
        <v>9.9499999999999993</v>
      </c>
      <c r="E88">
        <v>201.01</v>
      </c>
      <c r="F88" t="s">
        <v>36</v>
      </c>
      <c r="G88" t="s">
        <v>22</v>
      </c>
      <c r="H88" t="s">
        <v>38</v>
      </c>
      <c r="I88" t="s">
        <v>13</v>
      </c>
    </row>
    <row r="89" spans="1:9" x14ac:dyDescent="0.25">
      <c r="A89" s="3">
        <v>10547</v>
      </c>
      <c r="B89" s="1">
        <v>44891</v>
      </c>
      <c r="C89" t="s">
        <v>9</v>
      </c>
      <c r="D89">
        <v>3.49</v>
      </c>
      <c r="E89">
        <v>630.37</v>
      </c>
      <c r="F89" t="s">
        <v>36</v>
      </c>
      <c r="G89" t="s">
        <v>22</v>
      </c>
      <c r="H89" t="s">
        <v>38</v>
      </c>
      <c r="I89" t="s">
        <v>13</v>
      </c>
    </row>
    <row r="90" spans="1:9" x14ac:dyDescent="0.25">
      <c r="A90" s="3">
        <v>10548</v>
      </c>
      <c r="B90" s="1">
        <v>44891</v>
      </c>
      <c r="C90" t="s">
        <v>14</v>
      </c>
      <c r="D90">
        <v>2.95</v>
      </c>
      <c r="E90">
        <v>745.76</v>
      </c>
      <c r="F90" t="s">
        <v>36</v>
      </c>
      <c r="G90" t="s">
        <v>22</v>
      </c>
      <c r="H90" t="s">
        <v>38</v>
      </c>
      <c r="I90" t="s">
        <v>13</v>
      </c>
    </row>
    <row r="91" spans="1:9" x14ac:dyDescent="0.25">
      <c r="A91" s="3">
        <v>10549</v>
      </c>
      <c r="B91" s="1">
        <v>44891</v>
      </c>
      <c r="C91" t="s">
        <v>17</v>
      </c>
      <c r="D91">
        <v>4.99</v>
      </c>
      <c r="E91">
        <v>200.4</v>
      </c>
      <c r="F91" t="s">
        <v>36</v>
      </c>
      <c r="G91" t="s">
        <v>22</v>
      </c>
      <c r="H91" t="s">
        <v>38</v>
      </c>
      <c r="I91" t="s">
        <v>13</v>
      </c>
    </row>
    <row r="92" spans="1:9" x14ac:dyDescent="0.25">
      <c r="A92" s="3">
        <v>10550</v>
      </c>
      <c r="B92" s="1">
        <v>44892</v>
      </c>
      <c r="C92" t="s">
        <v>21</v>
      </c>
      <c r="D92">
        <v>12.99</v>
      </c>
      <c r="E92">
        <v>461.89</v>
      </c>
      <c r="F92" t="s">
        <v>36</v>
      </c>
      <c r="G92" t="s">
        <v>22</v>
      </c>
      <c r="H92" t="s">
        <v>38</v>
      </c>
      <c r="I92" t="s">
        <v>13</v>
      </c>
    </row>
    <row r="93" spans="1:9" x14ac:dyDescent="0.25">
      <c r="A93" s="3">
        <v>10551</v>
      </c>
      <c r="B93" s="1">
        <v>44892</v>
      </c>
      <c r="C93" t="s">
        <v>25</v>
      </c>
      <c r="D93">
        <v>9.9499999999999993</v>
      </c>
      <c r="E93">
        <v>201.01</v>
      </c>
      <c r="F93" t="s">
        <v>36</v>
      </c>
      <c r="G93" t="s">
        <v>22</v>
      </c>
      <c r="H93" t="s">
        <v>38</v>
      </c>
      <c r="I93" t="s">
        <v>13</v>
      </c>
    </row>
    <row r="94" spans="1:9" x14ac:dyDescent="0.25">
      <c r="A94" s="3">
        <v>10552</v>
      </c>
      <c r="B94" s="1">
        <v>44892</v>
      </c>
      <c r="C94" t="s">
        <v>9</v>
      </c>
      <c r="D94">
        <v>3.49</v>
      </c>
      <c r="E94">
        <v>630.37</v>
      </c>
      <c r="F94" t="s">
        <v>10</v>
      </c>
      <c r="G94" t="s">
        <v>22</v>
      </c>
      <c r="H94" t="s">
        <v>38</v>
      </c>
      <c r="I94" t="s">
        <v>13</v>
      </c>
    </row>
    <row r="95" spans="1:9" x14ac:dyDescent="0.25">
      <c r="A95" s="3">
        <v>10553</v>
      </c>
      <c r="B95" s="1">
        <v>44892</v>
      </c>
      <c r="C95" t="s">
        <v>14</v>
      </c>
      <c r="D95">
        <v>2.95</v>
      </c>
      <c r="E95">
        <v>745.76</v>
      </c>
      <c r="F95" t="s">
        <v>10</v>
      </c>
      <c r="G95" t="s">
        <v>22</v>
      </c>
      <c r="H95" t="s">
        <v>38</v>
      </c>
      <c r="I95" t="s">
        <v>13</v>
      </c>
    </row>
    <row r="96" spans="1:9" x14ac:dyDescent="0.25">
      <c r="A96" s="3">
        <v>10554</v>
      </c>
      <c r="B96" s="1">
        <v>44892</v>
      </c>
      <c r="C96" t="s">
        <v>17</v>
      </c>
      <c r="D96">
        <v>4.99</v>
      </c>
      <c r="E96">
        <v>200.4</v>
      </c>
      <c r="F96" t="s">
        <v>10</v>
      </c>
      <c r="G96" t="s">
        <v>22</v>
      </c>
      <c r="H96" t="s">
        <v>38</v>
      </c>
      <c r="I96" t="s">
        <v>13</v>
      </c>
    </row>
    <row r="97" spans="1:9" x14ac:dyDescent="0.25">
      <c r="A97" s="3">
        <v>10555</v>
      </c>
      <c r="B97" s="1">
        <v>44893</v>
      </c>
      <c r="C97" t="s">
        <v>21</v>
      </c>
      <c r="D97">
        <v>12.99</v>
      </c>
      <c r="E97">
        <v>477.29</v>
      </c>
      <c r="F97" t="s">
        <v>10</v>
      </c>
      <c r="G97" t="s">
        <v>22</v>
      </c>
      <c r="H97" t="s">
        <v>38</v>
      </c>
      <c r="I97" t="s">
        <v>13</v>
      </c>
    </row>
    <row r="98" spans="1:9" x14ac:dyDescent="0.25">
      <c r="A98" s="3">
        <v>10556</v>
      </c>
      <c r="B98" s="1">
        <v>44893</v>
      </c>
      <c r="C98" t="s">
        <v>25</v>
      </c>
      <c r="D98">
        <v>9.9499999999999993</v>
      </c>
      <c r="E98">
        <v>201.01</v>
      </c>
      <c r="F98" t="s">
        <v>10</v>
      </c>
      <c r="G98" t="s">
        <v>22</v>
      </c>
      <c r="H98" t="s">
        <v>38</v>
      </c>
      <c r="I98" t="s">
        <v>13</v>
      </c>
    </row>
    <row r="99" spans="1:9" x14ac:dyDescent="0.25">
      <c r="A99" s="3">
        <v>10557</v>
      </c>
      <c r="B99" s="1">
        <v>44893</v>
      </c>
      <c r="C99" t="s">
        <v>9</v>
      </c>
      <c r="D99">
        <v>3.49</v>
      </c>
      <c r="E99">
        <v>630.37</v>
      </c>
      <c r="F99" t="s">
        <v>10</v>
      </c>
      <c r="G99" t="s">
        <v>22</v>
      </c>
      <c r="H99" t="s">
        <v>38</v>
      </c>
      <c r="I99" t="s">
        <v>13</v>
      </c>
    </row>
    <row r="100" spans="1:9" x14ac:dyDescent="0.25">
      <c r="A100" s="3">
        <v>10558</v>
      </c>
      <c r="B100" s="1">
        <v>44893</v>
      </c>
      <c r="C100" t="s">
        <v>14</v>
      </c>
      <c r="D100">
        <v>2.95</v>
      </c>
      <c r="E100">
        <v>677.97</v>
      </c>
      <c r="F100" t="s">
        <v>10</v>
      </c>
      <c r="G100" t="s">
        <v>22</v>
      </c>
      <c r="H100" t="s">
        <v>38</v>
      </c>
      <c r="I100" t="s">
        <v>13</v>
      </c>
    </row>
    <row r="101" spans="1:9" x14ac:dyDescent="0.25">
      <c r="A101" s="3">
        <v>10559</v>
      </c>
      <c r="B101" s="1">
        <v>44893</v>
      </c>
      <c r="C101" t="s">
        <v>17</v>
      </c>
      <c r="D101">
        <v>4.99</v>
      </c>
      <c r="E101">
        <v>200.4</v>
      </c>
      <c r="F101" t="s">
        <v>10</v>
      </c>
      <c r="G101" t="s">
        <v>22</v>
      </c>
      <c r="H101" t="s">
        <v>38</v>
      </c>
      <c r="I101" t="s">
        <v>13</v>
      </c>
    </row>
    <row r="102" spans="1:9" x14ac:dyDescent="0.25">
      <c r="A102" s="3">
        <v>10560</v>
      </c>
      <c r="B102" s="1">
        <v>44894</v>
      </c>
      <c r="C102" t="s">
        <v>21</v>
      </c>
      <c r="D102">
        <v>12.99</v>
      </c>
      <c r="E102">
        <v>477.29</v>
      </c>
      <c r="F102" t="s">
        <v>10</v>
      </c>
      <c r="G102" t="s">
        <v>22</v>
      </c>
      <c r="H102" t="s">
        <v>38</v>
      </c>
      <c r="I102" t="s">
        <v>13</v>
      </c>
    </row>
    <row r="103" spans="1:9" x14ac:dyDescent="0.25">
      <c r="A103" s="3">
        <v>10561</v>
      </c>
      <c r="B103" s="1">
        <v>44894</v>
      </c>
      <c r="C103" t="s">
        <v>25</v>
      </c>
      <c r="D103">
        <v>9.9499999999999993</v>
      </c>
      <c r="E103">
        <v>201.01</v>
      </c>
      <c r="F103" t="s">
        <v>10</v>
      </c>
      <c r="G103" t="s">
        <v>22</v>
      </c>
      <c r="H103" t="s">
        <v>38</v>
      </c>
      <c r="I103" t="s">
        <v>13</v>
      </c>
    </row>
    <row r="104" spans="1:9" x14ac:dyDescent="0.25">
      <c r="A104" s="3">
        <v>10562</v>
      </c>
      <c r="B104" s="1">
        <v>44894</v>
      </c>
      <c r="C104" t="s">
        <v>9</v>
      </c>
      <c r="D104">
        <v>3.49</v>
      </c>
      <c r="E104">
        <v>630.37</v>
      </c>
      <c r="F104" t="s">
        <v>10</v>
      </c>
      <c r="G104" t="s">
        <v>22</v>
      </c>
      <c r="H104" t="s">
        <v>38</v>
      </c>
      <c r="I104" t="s">
        <v>13</v>
      </c>
    </row>
    <row r="105" spans="1:9" x14ac:dyDescent="0.25">
      <c r="A105" s="3">
        <v>10563</v>
      </c>
      <c r="B105" s="1">
        <v>44894</v>
      </c>
      <c r="C105" t="s">
        <v>14</v>
      </c>
      <c r="D105">
        <v>2.95</v>
      </c>
      <c r="E105">
        <v>677.97</v>
      </c>
      <c r="F105" t="s">
        <v>10</v>
      </c>
      <c r="G105" t="s">
        <v>22</v>
      </c>
      <c r="H105" t="s">
        <v>38</v>
      </c>
      <c r="I105" t="s">
        <v>13</v>
      </c>
    </row>
    <row r="106" spans="1:9" x14ac:dyDescent="0.25">
      <c r="A106" s="3">
        <v>10564</v>
      </c>
      <c r="B106" s="1">
        <v>44894</v>
      </c>
      <c r="C106" t="s">
        <v>17</v>
      </c>
      <c r="D106">
        <v>4.99</v>
      </c>
      <c r="E106">
        <v>200.4</v>
      </c>
      <c r="F106" t="s">
        <v>10</v>
      </c>
      <c r="G106" t="s">
        <v>22</v>
      </c>
      <c r="H106" t="s">
        <v>38</v>
      </c>
      <c r="I106" t="s">
        <v>13</v>
      </c>
    </row>
    <row r="107" spans="1:9" x14ac:dyDescent="0.25">
      <c r="A107" s="3">
        <v>10565</v>
      </c>
      <c r="B107" s="1">
        <v>44895</v>
      </c>
      <c r="C107" t="s">
        <v>21</v>
      </c>
      <c r="D107">
        <v>12.99</v>
      </c>
      <c r="E107">
        <v>492.69</v>
      </c>
      <c r="F107" t="s">
        <v>10</v>
      </c>
      <c r="G107" t="s">
        <v>22</v>
      </c>
      <c r="H107" t="s">
        <v>38</v>
      </c>
      <c r="I107" t="s">
        <v>13</v>
      </c>
    </row>
    <row r="108" spans="1:9" x14ac:dyDescent="0.25">
      <c r="A108" s="3">
        <v>10566</v>
      </c>
      <c r="B108" s="1">
        <v>44895</v>
      </c>
      <c r="C108" t="s">
        <v>25</v>
      </c>
      <c r="D108">
        <v>9.9499999999999993</v>
      </c>
      <c r="E108">
        <v>201.01</v>
      </c>
      <c r="F108" t="s">
        <v>10</v>
      </c>
      <c r="G108" t="s">
        <v>22</v>
      </c>
      <c r="H108" t="s">
        <v>38</v>
      </c>
      <c r="I108" t="s">
        <v>13</v>
      </c>
    </row>
    <row r="109" spans="1:9" x14ac:dyDescent="0.25">
      <c r="A109" s="3">
        <v>10567</v>
      </c>
      <c r="B109" s="1">
        <v>44895</v>
      </c>
      <c r="C109" t="s">
        <v>9</v>
      </c>
      <c r="D109">
        <v>3.49</v>
      </c>
      <c r="E109">
        <v>630.37</v>
      </c>
      <c r="F109" t="s">
        <v>10</v>
      </c>
      <c r="G109" t="s">
        <v>22</v>
      </c>
      <c r="H109" t="s">
        <v>38</v>
      </c>
      <c r="I109" t="s">
        <v>13</v>
      </c>
    </row>
    <row r="110" spans="1:9" x14ac:dyDescent="0.25">
      <c r="A110" s="3">
        <v>10568</v>
      </c>
      <c r="B110" s="1">
        <v>44895</v>
      </c>
      <c r="C110" t="s">
        <v>14</v>
      </c>
      <c r="D110">
        <v>2.95</v>
      </c>
      <c r="E110">
        <v>677.97</v>
      </c>
      <c r="F110" t="s">
        <v>10</v>
      </c>
      <c r="G110" t="s">
        <v>22</v>
      </c>
      <c r="H110" t="s">
        <v>38</v>
      </c>
      <c r="I110" t="s">
        <v>13</v>
      </c>
    </row>
    <row r="111" spans="1:9" x14ac:dyDescent="0.25">
      <c r="A111" s="3">
        <v>10569</v>
      </c>
      <c r="B111" s="1">
        <v>44895</v>
      </c>
      <c r="C111" t="s">
        <v>17</v>
      </c>
      <c r="D111">
        <v>4.99</v>
      </c>
      <c r="E111">
        <v>200.4</v>
      </c>
      <c r="F111" t="s">
        <v>10</v>
      </c>
      <c r="G111" t="s">
        <v>22</v>
      </c>
      <c r="H111" t="s">
        <v>38</v>
      </c>
      <c r="I111" t="s">
        <v>13</v>
      </c>
    </row>
    <row r="112" spans="1:9" x14ac:dyDescent="0.25">
      <c r="A112" s="3">
        <v>10570</v>
      </c>
      <c r="B112" s="1">
        <v>44896</v>
      </c>
      <c r="C112" t="s">
        <v>21</v>
      </c>
      <c r="D112">
        <v>12.99</v>
      </c>
      <c r="E112">
        <v>492.69</v>
      </c>
      <c r="F112" t="s">
        <v>10</v>
      </c>
      <c r="G112" t="s">
        <v>22</v>
      </c>
      <c r="H112" t="s">
        <v>38</v>
      </c>
      <c r="I112" t="s">
        <v>13</v>
      </c>
    </row>
    <row r="113" spans="1:9" x14ac:dyDescent="0.25">
      <c r="A113" s="3">
        <v>10571</v>
      </c>
      <c r="B113" s="1">
        <v>44896</v>
      </c>
      <c r="C113" t="s">
        <v>25</v>
      </c>
      <c r="D113">
        <v>9.9499999999999993</v>
      </c>
      <c r="E113">
        <v>201.01</v>
      </c>
      <c r="F113" t="s">
        <v>10</v>
      </c>
      <c r="G113" t="s">
        <v>22</v>
      </c>
      <c r="H113" t="s">
        <v>38</v>
      </c>
      <c r="I113" t="s">
        <v>13</v>
      </c>
    </row>
    <row r="114" spans="1:9" x14ac:dyDescent="0.25">
      <c r="A114" s="3">
        <v>10572</v>
      </c>
      <c r="B114" s="1">
        <v>44896</v>
      </c>
      <c r="C114" t="s">
        <v>9</v>
      </c>
      <c r="D114">
        <v>3.49</v>
      </c>
      <c r="E114">
        <v>573.07000000000005</v>
      </c>
      <c r="F114" t="s">
        <v>10</v>
      </c>
      <c r="G114" t="s">
        <v>22</v>
      </c>
      <c r="H114" t="s">
        <v>28</v>
      </c>
      <c r="I114" t="s">
        <v>27</v>
      </c>
    </row>
    <row r="115" spans="1:9" x14ac:dyDescent="0.25">
      <c r="A115" s="3">
        <v>10573</v>
      </c>
      <c r="B115" s="1">
        <v>44896</v>
      </c>
      <c r="C115" t="s">
        <v>14</v>
      </c>
      <c r="D115">
        <v>2.95</v>
      </c>
      <c r="E115">
        <v>677.97</v>
      </c>
      <c r="F115" t="s">
        <v>10</v>
      </c>
      <c r="G115" t="s">
        <v>22</v>
      </c>
      <c r="H115" t="s">
        <v>28</v>
      </c>
      <c r="I115" t="s">
        <v>27</v>
      </c>
    </row>
    <row r="116" spans="1:9" x14ac:dyDescent="0.25">
      <c r="A116" s="3">
        <v>10574</v>
      </c>
      <c r="B116" s="1">
        <v>44896</v>
      </c>
      <c r="C116" t="s">
        <v>17</v>
      </c>
      <c r="D116">
        <v>4.99</v>
      </c>
      <c r="E116">
        <v>200.4</v>
      </c>
      <c r="F116" t="s">
        <v>10</v>
      </c>
      <c r="G116" t="s">
        <v>22</v>
      </c>
      <c r="H116" t="s">
        <v>28</v>
      </c>
      <c r="I116" t="s">
        <v>27</v>
      </c>
    </row>
    <row r="117" spans="1:9" x14ac:dyDescent="0.25">
      <c r="A117" s="3">
        <v>10575</v>
      </c>
      <c r="B117" s="1">
        <v>44897</v>
      </c>
      <c r="C117" t="s">
        <v>21</v>
      </c>
      <c r="D117">
        <v>12.99</v>
      </c>
      <c r="E117">
        <v>523.48</v>
      </c>
      <c r="F117" t="s">
        <v>10</v>
      </c>
      <c r="G117" t="s">
        <v>22</v>
      </c>
      <c r="H117" t="s">
        <v>28</v>
      </c>
      <c r="I117" t="s">
        <v>27</v>
      </c>
    </row>
    <row r="118" spans="1:9" x14ac:dyDescent="0.25">
      <c r="A118" s="3">
        <v>10576</v>
      </c>
      <c r="B118" s="1">
        <v>44897</v>
      </c>
      <c r="C118" t="s">
        <v>25</v>
      </c>
      <c r="D118">
        <v>9.9499999999999993</v>
      </c>
      <c r="E118">
        <v>201.01</v>
      </c>
      <c r="F118" t="s">
        <v>10</v>
      </c>
      <c r="G118" t="s">
        <v>22</v>
      </c>
      <c r="H118" t="s">
        <v>28</v>
      </c>
      <c r="I118" t="s">
        <v>27</v>
      </c>
    </row>
    <row r="119" spans="1:9" x14ac:dyDescent="0.25">
      <c r="A119" s="3">
        <v>10577</v>
      </c>
      <c r="B119" s="1">
        <v>44897</v>
      </c>
      <c r="C119" t="s">
        <v>9</v>
      </c>
      <c r="D119">
        <v>3.49</v>
      </c>
      <c r="E119">
        <v>630.37</v>
      </c>
      <c r="F119" t="s">
        <v>10</v>
      </c>
      <c r="G119" t="s">
        <v>22</v>
      </c>
      <c r="H119" t="s">
        <v>28</v>
      </c>
      <c r="I119" t="s">
        <v>27</v>
      </c>
    </row>
    <row r="120" spans="1:9" x14ac:dyDescent="0.25">
      <c r="A120" s="3">
        <v>10578</v>
      </c>
      <c r="B120" s="1">
        <v>44897</v>
      </c>
      <c r="C120" t="s">
        <v>14</v>
      </c>
      <c r="D120">
        <v>2.95</v>
      </c>
      <c r="E120">
        <v>677.97</v>
      </c>
      <c r="F120" t="s">
        <v>10</v>
      </c>
      <c r="G120" t="s">
        <v>22</v>
      </c>
      <c r="H120" t="s">
        <v>28</v>
      </c>
      <c r="I120" t="s">
        <v>27</v>
      </c>
    </row>
    <row r="121" spans="1:9" x14ac:dyDescent="0.25">
      <c r="A121" s="3">
        <v>10579</v>
      </c>
      <c r="B121" s="1">
        <v>44897</v>
      </c>
      <c r="C121" t="s">
        <v>17</v>
      </c>
      <c r="D121">
        <v>4.99</v>
      </c>
      <c r="E121">
        <v>200.4</v>
      </c>
      <c r="F121" t="s">
        <v>10</v>
      </c>
      <c r="G121" t="s">
        <v>22</v>
      </c>
      <c r="H121" t="s">
        <v>28</v>
      </c>
      <c r="I121" t="s">
        <v>27</v>
      </c>
    </row>
    <row r="122" spans="1:9" x14ac:dyDescent="0.25">
      <c r="A122" s="3">
        <v>10580</v>
      </c>
      <c r="B122" s="1">
        <v>44898</v>
      </c>
      <c r="C122" t="s">
        <v>21</v>
      </c>
      <c r="D122">
        <v>12.99</v>
      </c>
      <c r="E122">
        <v>523.48</v>
      </c>
      <c r="F122" t="s">
        <v>10</v>
      </c>
      <c r="G122" t="s">
        <v>22</v>
      </c>
      <c r="H122" t="s">
        <v>28</v>
      </c>
      <c r="I122" t="s">
        <v>27</v>
      </c>
    </row>
    <row r="123" spans="1:9" x14ac:dyDescent="0.25">
      <c r="A123" s="3">
        <v>10581</v>
      </c>
      <c r="B123" s="1">
        <v>44898</v>
      </c>
      <c r="C123" t="s">
        <v>25</v>
      </c>
      <c r="D123">
        <v>9.9499999999999993</v>
      </c>
      <c r="E123">
        <v>201.01</v>
      </c>
      <c r="F123" t="s">
        <v>10</v>
      </c>
      <c r="G123" t="s">
        <v>22</v>
      </c>
      <c r="H123" t="s">
        <v>28</v>
      </c>
      <c r="I123" t="s">
        <v>27</v>
      </c>
    </row>
    <row r="124" spans="1:9" x14ac:dyDescent="0.25">
      <c r="A124" s="3">
        <v>10582</v>
      </c>
      <c r="B124" s="1">
        <v>44898</v>
      </c>
      <c r="C124" t="s">
        <v>9</v>
      </c>
      <c r="D124">
        <v>3.49</v>
      </c>
      <c r="E124">
        <v>630.37</v>
      </c>
      <c r="F124" t="s">
        <v>10</v>
      </c>
      <c r="G124" t="s">
        <v>22</v>
      </c>
      <c r="H124" t="s">
        <v>38</v>
      </c>
      <c r="I124" t="s">
        <v>13</v>
      </c>
    </row>
    <row r="125" spans="1:9" x14ac:dyDescent="0.25">
      <c r="A125" s="3">
        <v>10583</v>
      </c>
      <c r="B125" s="1">
        <v>44898</v>
      </c>
      <c r="C125" t="s">
        <v>14</v>
      </c>
      <c r="D125">
        <v>2.95</v>
      </c>
      <c r="E125">
        <v>677.97</v>
      </c>
      <c r="F125" t="s">
        <v>10</v>
      </c>
      <c r="G125" t="s">
        <v>22</v>
      </c>
      <c r="H125" t="s">
        <v>38</v>
      </c>
      <c r="I125" t="s">
        <v>13</v>
      </c>
    </row>
    <row r="126" spans="1:9" x14ac:dyDescent="0.25">
      <c r="A126" s="3">
        <v>10584</v>
      </c>
      <c r="B126" s="1">
        <v>44898</v>
      </c>
      <c r="C126" t="s">
        <v>17</v>
      </c>
      <c r="D126">
        <v>4.99</v>
      </c>
      <c r="E126">
        <v>200.4</v>
      </c>
      <c r="F126" t="s">
        <v>10</v>
      </c>
      <c r="G126" t="s">
        <v>22</v>
      </c>
      <c r="H126" t="s">
        <v>38</v>
      </c>
      <c r="I126" t="s">
        <v>13</v>
      </c>
    </row>
    <row r="127" spans="1:9" x14ac:dyDescent="0.25">
      <c r="A127" s="3">
        <v>10585</v>
      </c>
      <c r="B127" s="1">
        <v>44899</v>
      </c>
      <c r="C127" t="s">
        <v>21</v>
      </c>
      <c r="D127">
        <v>12.99</v>
      </c>
      <c r="E127">
        <v>538.88</v>
      </c>
      <c r="F127" t="s">
        <v>10</v>
      </c>
      <c r="G127" t="s">
        <v>22</v>
      </c>
      <c r="H127" t="s">
        <v>38</v>
      </c>
      <c r="I127" t="s">
        <v>13</v>
      </c>
    </row>
    <row r="128" spans="1:9" x14ac:dyDescent="0.25">
      <c r="A128" s="3">
        <v>10586</v>
      </c>
      <c r="B128" s="1">
        <v>44899</v>
      </c>
      <c r="C128" t="s">
        <v>25</v>
      </c>
      <c r="D128">
        <v>9.9499999999999993</v>
      </c>
      <c r="E128">
        <v>201.01</v>
      </c>
      <c r="F128" t="s">
        <v>10</v>
      </c>
      <c r="G128" t="s">
        <v>22</v>
      </c>
      <c r="H128" t="s">
        <v>38</v>
      </c>
      <c r="I128" t="s">
        <v>13</v>
      </c>
    </row>
    <row r="129" spans="1:9" x14ac:dyDescent="0.25">
      <c r="A129" s="3">
        <v>10537</v>
      </c>
      <c r="B129" s="1">
        <v>44889</v>
      </c>
      <c r="C129" t="s">
        <v>9</v>
      </c>
      <c r="D129">
        <v>3.49</v>
      </c>
      <c r="E129">
        <v>630.37</v>
      </c>
      <c r="F129" t="s">
        <v>36</v>
      </c>
      <c r="G129" t="s">
        <v>22</v>
      </c>
      <c r="H129" t="s">
        <v>31</v>
      </c>
      <c r="I129" t="s">
        <v>16</v>
      </c>
    </row>
    <row r="130" spans="1:9" x14ac:dyDescent="0.25">
      <c r="A130" s="3">
        <v>10538</v>
      </c>
      <c r="B130" s="1">
        <v>44889</v>
      </c>
      <c r="C130" t="s">
        <v>14</v>
      </c>
      <c r="D130">
        <v>2.95</v>
      </c>
      <c r="E130">
        <v>745.76</v>
      </c>
      <c r="F130" t="s">
        <v>36</v>
      </c>
      <c r="G130" t="s">
        <v>22</v>
      </c>
      <c r="H130" t="s">
        <v>31</v>
      </c>
      <c r="I130" t="s">
        <v>16</v>
      </c>
    </row>
    <row r="131" spans="1:9" x14ac:dyDescent="0.25">
      <c r="A131" s="3">
        <v>10539</v>
      </c>
      <c r="B131" s="1">
        <v>44889</v>
      </c>
      <c r="C131" t="s">
        <v>17</v>
      </c>
      <c r="D131">
        <v>4.99</v>
      </c>
      <c r="E131">
        <v>200.4</v>
      </c>
      <c r="F131" t="s">
        <v>36</v>
      </c>
      <c r="G131" t="s">
        <v>22</v>
      </c>
      <c r="H131" t="s">
        <v>31</v>
      </c>
      <c r="I131" t="s">
        <v>16</v>
      </c>
    </row>
    <row r="132" spans="1:9" x14ac:dyDescent="0.25">
      <c r="A132" s="3">
        <v>10590</v>
      </c>
      <c r="B132" s="1">
        <v>44900</v>
      </c>
      <c r="C132" t="s">
        <v>21</v>
      </c>
      <c r="D132">
        <v>12.99</v>
      </c>
      <c r="E132">
        <v>554.27</v>
      </c>
      <c r="F132" t="s">
        <v>10</v>
      </c>
      <c r="G132" t="s">
        <v>22</v>
      </c>
      <c r="H132" t="s">
        <v>38</v>
      </c>
      <c r="I132" t="s">
        <v>13</v>
      </c>
    </row>
    <row r="133" spans="1:9" x14ac:dyDescent="0.25">
      <c r="A133" s="3">
        <v>10591</v>
      </c>
      <c r="B133" s="1">
        <v>44900</v>
      </c>
      <c r="C133" t="s">
        <v>25</v>
      </c>
      <c r="D133">
        <v>9.9499999999999993</v>
      </c>
      <c r="E133">
        <v>201.01</v>
      </c>
      <c r="F133" t="s">
        <v>10</v>
      </c>
      <c r="G133" t="s">
        <v>22</v>
      </c>
      <c r="H133" t="s">
        <v>38</v>
      </c>
      <c r="I133" t="s">
        <v>13</v>
      </c>
    </row>
    <row r="134" spans="1:9" x14ac:dyDescent="0.25">
      <c r="A134" s="3">
        <v>10592</v>
      </c>
      <c r="B134" s="1">
        <v>44900</v>
      </c>
      <c r="C134" t="s">
        <v>9</v>
      </c>
      <c r="D134">
        <v>3.49</v>
      </c>
      <c r="E134">
        <v>573.07000000000005</v>
      </c>
      <c r="F134" t="s">
        <v>10</v>
      </c>
      <c r="G134" t="s">
        <v>22</v>
      </c>
      <c r="H134" t="s">
        <v>38</v>
      </c>
      <c r="I134" t="s">
        <v>13</v>
      </c>
    </row>
    <row r="135" spans="1:9" x14ac:dyDescent="0.25">
      <c r="A135" s="3">
        <v>10593</v>
      </c>
      <c r="B135" s="1">
        <v>44900</v>
      </c>
      <c r="C135" t="s">
        <v>14</v>
      </c>
      <c r="D135">
        <v>2.95</v>
      </c>
      <c r="E135">
        <v>677.97</v>
      </c>
      <c r="F135" t="s">
        <v>10</v>
      </c>
      <c r="G135" t="s">
        <v>22</v>
      </c>
      <c r="H135" t="s">
        <v>38</v>
      </c>
      <c r="I135" t="s">
        <v>13</v>
      </c>
    </row>
    <row r="136" spans="1:9" x14ac:dyDescent="0.25">
      <c r="A136" s="3">
        <v>10594</v>
      </c>
      <c r="B136" s="1">
        <v>44900</v>
      </c>
      <c r="C136" t="s">
        <v>17</v>
      </c>
      <c r="D136">
        <v>4.99</v>
      </c>
      <c r="E136">
        <v>200.4</v>
      </c>
      <c r="F136" t="s">
        <v>10</v>
      </c>
      <c r="G136" t="s">
        <v>22</v>
      </c>
      <c r="H136" t="s">
        <v>38</v>
      </c>
      <c r="I136" t="s">
        <v>13</v>
      </c>
    </row>
    <row r="137" spans="1:9" x14ac:dyDescent="0.25">
      <c r="A137" s="3">
        <v>10595</v>
      </c>
      <c r="B137" s="1">
        <v>44901</v>
      </c>
      <c r="C137" t="s">
        <v>21</v>
      </c>
      <c r="D137">
        <v>12.99</v>
      </c>
      <c r="E137">
        <v>538.88</v>
      </c>
      <c r="F137" t="s">
        <v>10</v>
      </c>
      <c r="G137" t="s">
        <v>22</v>
      </c>
      <c r="H137" t="s">
        <v>38</v>
      </c>
      <c r="I137" t="s">
        <v>13</v>
      </c>
    </row>
    <row r="138" spans="1:9" x14ac:dyDescent="0.25">
      <c r="A138" s="3">
        <v>10596</v>
      </c>
      <c r="B138" s="1">
        <v>44901</v>
      </c>
      <c r="C138" t="s">
        <v>25</v>
      </c>
      <c r="D138">
        <v>9.9499999999999993</v>
      </c>
      <c r="E138">
        <v>201.01</v>
      </c>
      <c r="F138" t="s">
        <v>10</v>
      </c>
      <c r="G138" t="s">
        <v>22</v>
      </c>
      <c r="H138" t="s">
        <v>38</v>
      </c>
      <c r="I138" t="s">
        <v>13</v>
      </c>
    </row>
    <row r="139" spans="1:9" x14ac:dyDescent="0.25">
      <c r="A139" s="3">
        <v>10597</v>
      </c>
      <c r="B139" s="1">
        <v>44901</v>
      </c>
      <c r="C139" t="s">
        <v>9</v>
      </c>
      <c r="D139">
        <v>3.49</v>
      </c>
      <c r="E139">
        <v>573.07000000000005</v>
      </c>
      <c r="F139" t="s">
        <v>10</v>
      </c>
      <c r="G139" t="s">
        <v>22</v>
      </c>
      <c r="H139" t="s">
        <v>38</v>
      </c>
      <c r="I139" t="s">
        <v>13</v>
      </c>
    </row>
    <row r="140" spans="1:9" x14ac:dyDescent="0.25">
      <c r="A140" s="3">
        <v>10598</v>
      </c>
      <c r="B140" s="1">
        <v>44901</v>
      </c>
      <c r="C140" t="s">
        <v>14</v>
      </c>
      <c r="D140">
        <v>2.95</v>
      </c>
      <c r="E140">
        <v>677.97</v>
      </c>
      <c r="F140" t="s">
        <v>10</v>
      </c>
      <c r="G140" t="s">
        <v>22</v>
      </c>
      <c r="H140" t="s">
        <v>38</v>
      </c>
      <c r="I140" t="s">
        <v>13</v>
      </c>
    </row>
    <row r="141" spans="1:9" x14ac:dyDescent="0.25">
      <c r="A141" s="3">
        <v>10599</v>
      </c>
      <c r="B141" s="1">
        <v>44901</v>
      </c>
      <c r="C141" t="s">
        <v>17</v>
      </c>
      <c r="D141">
        <v>4.99</v>
      </c>
      <c r="E141">
        <v>200.4</v>
      </c>
      <c r="F141" t="s">
        <v>10</v>
      </c>
      <c r="G141" t="s">
        <v>22</v>
      </c>
      <c r="H141" t="s">
        <v>38</v>
      </c>
      <c r="I141" t="s">
        <v>13</v>
      </c>
    </row>
    <row r="142" spans="1:9" x14ac:dyDescent="0.25">
      <c r="A142" s="3">
        <v>10600</v>
      </c>
      <c r="B142" s="1">
        <v>44902</v>
      </c>
      <c r="C142" t="s">
        <v>21</v>
      </c>
      <c r="D142">
        <v>12.99</v>
      </c>
      <c r="E142">
        <v>523.48</v>
      </c>
      <c r="F142" t="s">
        <v>10</v>
      </c>
      <c r="G142" t="s">
        <v>22</v>
      </c>
      <c r="H142" t="s">
        <v>38</v>
      </c>
      <c r="I142" t="s">
        <v>13</v>
      </c>
    </row>
    <row r="143" spans="1:9" x14ac:dyDescent="0.25">
      <c r="A143" s="3">
        <v>10601</v>
      </c>
      <c r="B143" s="1">
        <v>44902</v>
      </c>
      <c r="C143" t="s">
        <v>25</v>
      </c>
      <c r="D143">
        <v>9.9499999999999993</v>
      </c>
      <c r="E143">
        <v>201.01</v>
      </c>
      <c r="F143" t="s">
        <v>10</v>
      </c>
      <c r="G143" t="s">
        <v>22</v>
      </c>
      <c r="H143" t="s">
        <v>38</v>
      </c>
      <c r="I143" t="s">
        <v>13</v>
      </c>
    </row>
    <row r="144" spans="1:9" x14ac:dyDescent="0.25">
      <c r="A144" s="3">
        <v>10602</v>
      </c>
      <c r="B144" s="1">
        <v>44902</v>
      </c>
      <c r="C144" t="s">
        <v>9</v>
      </c>
      <c r="D144">
        <v>3.49</v>
      </c>
      <c r="E144">
        <v>630.37</v>
      </c>
      <c r="F144" t="s">
        <v>10</v>
      </c>
      <c r="G144" t="s">
        <v>37</v>
      </c>
      <c r="H144" t="s">
        <v>38</v>
      </c>
      <c r="I144" t="s">
        <v>13</v>
      </c>
    </row>
    <row r="145" spans="1:9" x14ac:dyDescent="0.25">
      <c r="A145" s="3">
        <v>10603</v>
      </c>
      <c r="B145" s="1">
        <v>44902</v>
      </c>
      <c r="C145" t="s">
        <v>14</v>
      </c>
      <c r="D145">
        <v>2.95</v>
      </c>
      <c r="E145">
        <v>677.97</v>
      </c>
      <c r="F145" t="s">
        <v>10</v>
      </c>
      <c r="G145" t="s">
        <v>37</v>
      </c>
      <c r="H145" t="s">
        <v>38</v>
      </c>
      <c r="I145" t="s">
        <v>13</v>
      </c>
    </row>
    <row r="146" spans="1:9" x14ac:dyDescent="0.25">
      <c r="A146" s="3">
        <v>10604</v>
      </c>
      <c r="B146" s="1">
        <v>44902</v>
      </c>
      <c r="C146" t="s">
        <v>17</v>
      </c>
      <c r="D146">
        <v>4.99</v>
      </c>
      <c r="E146">
        <v>200.4</v>
      </c>
      <c r="F146" t="s">
        <v>10</v>
      </c>
      <c r="G146" t="s">
        <v>37</v>
      </c>
      <c r="H146" t="s">
        <v>38</v>
      </c>
      <c r="I146" t="s">
        <v>13</v>
      </c>
    </row>
    <row r="147" spans="1:9" x14ac:dyDescent="0.25">
      <c r="A147" s="3">
        <v>10605</v>
      </c>
      <c r="B147" s="1">
        <v>44903</v>
      </c>
      <c r="C147" t="s">
        <v>21</v>
      </c>
      <c r="D147">
        <v>12.99</v>
      </c>
      <c r="E147">
        <v>538.88</v>
      </c>
      <c r="F147" t="s">
        <v>10</v>
      </c>
      <c r="G147" t="s">
        <v>37</v>
      </c>
      <c r="H147" t="s">
        <v>38</v>
      </c>
      <c r="I147" t="s">
        <v>13</v>
      </c>
    </row>
    <row r="148" spans="1:9" x14ac:dyDescent="0.25">
      <c r="A148" s="3">
        <v>10606</v>
      </c>
      <c r="B148" s="1">
        <v>44903</v>
      </c>
      <c r="C148" t="s">
        <v>25</v>
      </c>
      <c r="D148">
        <v>9.9499999999999993</v>
      </c>
      <c r="E148">
        <v>201.01</v>
      </c>
      <c r="F148" t="s">
        <v>10</v>
      </c>
      <c r="G148" t="s">
        <v>37</v>
      </c>
      <c r="H148" t="s">
        <v>38</v>
      </c>
      <c r="I148" t="s">
        <v>13</v>
      </c>
    </row>
    <row r="149" spans="1:9" x14ac:dyDescent="0.25">
      <c r="A149" s="3">
        <v>10607</v>
      </c>
      <c r="B149" s="1">
        <v>44903</v>
      </c>
      <c r="C149" t="s">
        <v>9</v>
      </c>
      <c r="D149">
        <v>3.49</v>
      </c>
      <c r="E149">
        <v>630.37</v>
      </c>
      <c r="F149" t="s">
        <v>10</v>
      </c>
      <c r="G149" t="s">
        <v>37</v>
      </c>
      <c r="H149" t="s">
        <v>38</v>
      </c>
      <c r="I149" t="s">
        <v>13</v>
      </c>
    </row>
    <row r="150" spans="1:9" x14ac:dyDescent="0.25">
      <c r="A150" s="3">
        <v>10608</v>
      </c>
      <c r="B150" s="1">
        <v>44903</v>
      </c>
      <c r="C150" t="s">
        <v>14</v>
      </c>
      <c r="D150">
        <v>2.95</v>
      </c>
      <c r="E150">
        <v>677.97</v>
      </c>
      <c r="F150" t="s">
        <v>10</v>
      </c>
      <c r="G150" t="s">
        <v>11</v>
      </c>
      <c r="H150" t="s">
        <v>38</v>
      </c>
      <c r="I150" t="s">
        <v>13</v>
      </c>
    </row>
    <row r="151" spans="1:9" x14ac:dyDescent="0.25">
      <c r="A151" s="3">
        <v>10609</v>
      </c>
      <c r="B151" s="1">
        <v>44903</v>
      </c>
      <c r="C151" t="s">
        <v>17</v>
      </c>
      <c r="D151">
        <v>4.99</v>
      </c>
      <c r="E151">
        <v>200.4</v>
      </c>
      <c r="F151" t="s">
        <v>10</v>
      </c>
      <c r="G151" t="s">
        <v>11</v>
      </c>
      <c r="H151" t="s">
        <v>38</v>
      </c>
      <c r="I151" t="s">
        <v>13</v>
      </c>
    </row>
    <row r="152" spans="1:9" x14ac:dyDescent="0.25">
      <c r="A152" s="3">
        <v>10610</v>
      </c>
      <c r="B152" s="1">
        <v>44904</v>
      </c>
      <c r="C152" t="s">
        <v>21</v>
      </c>
      <c r="D152">
        <v>12.99</v>
      </c>
      <c r="E152">
        <v>569.66999999999996</v>
      </c>
      <c r="F152" t="s">
        <v>10</v>
      </c>
      <c r="G152" t="s">
        <v>11</v>
      </c>
      <c r="H152" t="s">
        <v>38</v>
      </c>
      <c r="I152" t="s">
        <v>13</v>
      </c>
    </row>
    <row r="153" spans="1:9" x14ac:dyDescent="0.25">
      <c r="A153" s="3">
        <v>10611</v>
      </c>
      <c r="B153" s="1">
        <v>44904</v>
      </c>
      <c r="C153" t="s">
        <v>25</v>
      </c>
      <c r="D153">
        <v>9.9499999999999993</v>
      </c>
      <c r="E153">
        <v>201.01</v>
      </c>
      <c r="F153" t="s">
        <v>10</v>
      </c>
      <c r="G153" t="s">
        <v>11</v>
      </c>
      <c r="H153" t="s">
        <v>38</v>
      </c>
      <c r="I153" t="s">
        <v>13</v>
      </c>
    </row>
    <row r="154" spans="1:9" x14ac:dyDescent="0.25">
      <c r="A154" s="3">
        <v>10612</v>
      </c>
      <c r="B154" s="1">
        <v>44904</v>
      </c>
      <c r="C154" t="s">
        <v>9</v>
      </c>
      <c r="D154">
        <v>3.49</v>
      </c>
      <c r="E154">
        <v>630.37</v>
      </c>
      <c r="F154" t="s">
        <v>10</v>
      </c>
      <c r="G154" t="s">
        <v>11</v>
      </c>
      <c r="H154" t="s">
        <v>38</v>
      </c>
      <c r="I154" t="s">
        <v>13</v>
      </c>
    </row>
    <row r="155" spans="1:9" x14ac:dyDescent="0.25">
      <c r="A155" s="3">
        <v>10613</v>
      </c>
      <c r="B155" s="1">
        <v>44904</v>
      </c>
      <c r="C155" t="s">
        <v>14</v>
      </c>
      <c r="D155">
        <v>2.95</v>
      </c>
      <c r="E155">
        <v>677.97</v>
      </c>
      <c r="F155" t="s">
        <v>10</v>
      </c>
      <c r="G155" t="s">
        <v>11</v>
      </c>
      <c r="H155" t="s">
        <v>38</v>
      </c>
      <c r="I155" t="s">
        <v>13</v>
      </c>
    </row>
    <row r="156" spans="1:9" x14ac:dyDescent="0.25">
      <c r="A156" s="3">
        <v>10614</v>
      </c>
      <c r="B156" s="1">
        <v>44904</v>
      </c>
      <c r="C156" t="s">
        <v>17</v>
      </c>
      <c r="D156">
        <v>4.99</v>
      </c>
      <c r="E156">
        <v>200.4</v>
      </c>
      <c r="F156" t="s">
        <v>10</v>
      </c>
      <c r="G156" t="s">
        <v>11</v>
      </c>
      <c r="H156" t="s">
        <v>38</v>
      </c>
      <c r="I156" t="s">
        <v>13</v>
      </c>
    </row>
    <row r="157" spans="1:9" x14ac:dyDescent="0.25">
      <c r="A157" s="3">
        <v>10615</v>
      </c>
      <c r="B157" s="1">
        <v>44905</v>
      </c>
      <c r="C157" t="s">
        <v>21</v>
      </c>
      <c r="D157">
        <v>12.99</v>
      </c>
      <c r="E157">
        <v>569.66999999999996</v>
      </c>
      <c r="F157" t="s">
        <v>10</v>
      </c>
      <c r="G157" t="s">
        <v>11</v>
      </c>
      <c r="H157" t="s">
        <v>38</v>
      </c>
      <c r="I157" t="s">
        <v>13</v>
      </c>
    </row>
    <row r="158" spans="1:9" x14ac:dyDescent="0.25">
      <c r="A158" s="3">
        <v>10616</v>
      </c>
      <c r="B158" s="1">
        <v>44905</v>
      </c>
      <c r="C158" t="s">
        <v>25</v>
      </c>
      <c r="D158">
        <v>9.9499999999999993</v>
      </c>
      <c r="E158">
        <v>201.01</v>
      </c>
      <c r="F158" t="s">
        <v>10</v>
      </c>
      <c r="G158" t="s">
        <v>11</v>
      </c>
      <c r="H158" t="s">
        <v>38</v>
      </c>
      <c r="I158" t="s">
        <v>13</v>
      </c>
    </row>
    <row r="159" spans="1:9" x14ac:dyDescent="0.25">
      <c r="A159" s="3">
        <v>10617</v>
      </c>
      <c r="B159" s="1">
        <v>44905</v>
      </c>
      <c r="C159" t="s">
        <v>9</v>
      </c>
      <c r="D159">
        <v>3.49</v>
      </c>
      <c r="E159">
        <v>630.37</v>
      </c>
      <c r="F159" t="s">
        <v>10</v>
      </c>
      <c r="G159" t="s">
        <v>11</v>
      </c>
      <c r="H159" t="s">
        <v>38</v>
      </c>
      <c r="I159" t="s">
        <v>13</v>
      </c>
    </row>
    <row r="160" spans="1:9" x14ac:dyDescent="0.25">
      <c r="A160" s="3">
        <v>10618</v>
      </c>
      <c r="B160" s="1">
        <v>44905</v>
      </c>
      <c r="C160" t="s">
        <v>14</v>
      </c>
      <c r="D160">
        <v>2.95</v>
      </c>
      <c r="E160">
        <v>677.97</v>
      </c>
      <c r="F160" t="s">
        <v>10</v>
      </c>
      <c r="G160" t="s">
        <v>11</v>
      </c>
      <c r="H160" t="s">
        <v>38</v>
      </c>
      <c r="I160" t="s">
        <v>13</v>
      </c>
    </row>
    <row r="161" spans="1:9" x14ac:dyDescent="0.25">
      <c r="A161" s="3">
        <v>10619</v>
      </c>
      <c r="B161" s="1">
        <v>44905</v>
      </c>
      <c r="C161" t="s">
        <v>17</v>
      </c>
      <c r="D161">
        <v>4.99</v>
      </c>
      <c r="E161">
        <v>200.4</v>
      </c>
      <c r="F161" t="s">
        <v>10</v>
      </c>
      <c r="G161" t="s">
        <v>11</v>
      </c>
      <c r="H161" t="s">
        <v>38</v>
      </c>
      <c r="I161" t="s">
        <v>13</v>
      </c>
    </row>
    <row r="162" spans="1:9" x14ac:dyDescent="0.25">
      <c r="A162" s="3">
        <v>10620</v>
      </c>
      <c r="B162" s="1">
        <v>44906</v>
      </c>
      <c r="C162" t="s">
        <v>21</v>
      </c>
      <c r="D162">
        <v>12.99</v>
      </c>
      <c r="E162">
        <v>585.07000000000005</v>
      </c>
      <c r="F162" t="s">
        <v>10</v>
      </c>
      <c r="G162" t="s">
        <v>11</v>
      </c>
      <c r="H162" t="s">
        <v>38</v>
      </c>
      <c r="I162" t="s">
        <v>13</v>
      </c>
    </row>
    <row r="163" spans="1:9" x14ac:dyDescent="0.25">
      <c r="A163" s="3">
        <v>10621</v>
      </c>
      <c r="B163" s="1">
        <v>44906</v>
      </c>
      <c r="C163" t="s">
        <v>25</v>
      </c>
      <c r="D163">
        <v>9.9499999999999993</v>
      </c>
      <c r="E163">
        <v>201.01</v>
      </c>
      <c r="F163" t="s">
        <v>10</v>
      </c>
      <c r="G163" t="s">
        <v>11</v>
      </c>
      <c r="H163" t="s">
        <v>38</v>
      </c>
      <c r="I163" t="s">
        <v>13</v>
      </c>
    </row>
    <row r="164" spans="1:9" x14ac:dyDescent="0.25">
      <c r="A164" s="3">
        <v>10622</v>
      </c>
      <c r="B164" s="1">
        <v>44906</v>
      </c>
      <c r="C164" t="s">
        <v>9</v>
      </c>
      <c r="D164">
        <v>3.49</v>
      </c>
      <c r="E164">
        <v>630.37</v>
      </c>
      <c r="F164" t="s">
        <v>10</v>
      </c>
      <c r="G164" t="s">
        <v>11</v>
      </c>
      <c r="H164" t="s">
        <v>38</v>
      </c>
      <c r="I164" t="s">
        <v>13</v>
      </c>
    </row>
    <row r="165" spans="1:9" x14ac:dyDescent="0.25">
      <c r="A165" s="3">
        <v>10623</v>
      </c>
      <c r="B165" s="1">
        <v>44906</v>
      </c>
      <c r="C165" t="s">
        <v>14</v>
      </c>
      <c r="D165">
        <v>2.95</v>
      </c>
      <c r="E165">
        <v>745.76</v>
      </c>
      <c r="F165" t="s">
        <v>10</v>
      </c>
      <c r="G165" t="s">
        <v>11</v>
      </c>
      <c r="H165" t="s">
        <v>38</v>
      </c>
      <c r="I165" t="s">
        <v>13</v>
      </c>
    </row>
    <row r="166" spans="1:9" x14ac:dyDescent="0.25">
      <c r="A166" s="3">
        <v>10624</v>
      </c>
      <c r="B166" s="1">
        <v>44906</v>
      </c>
      <c r="C166" t="s">
        <v>17</v>
      </c>
      <c r="D166">
        <v>4.99</v>
      </c>
      <c r="E166">
        <v>200.4</v>
      </c>
      <c r="F166" t="s">
        <v>10</v>
      </c>
      <c r="G166" t="s">
        <v>11</v>
      </c>
      <c r="H166" t="s">
        <v>38</v>
      </c>
      <c r="I166" t="s">
        <v>13</v>
      </c>
    </row>
    <row r="167" spans="1:9" x14ac:dyDescent="0.25">
      <c r="A167" s="3">
        <v>10625</v>
      </c>
      <c r="B167" s="1">
        <v>44907</v>
      </c>
      <c r="C167" t="s">
        <v>21</v>
      </c>
      <c r="D167">
        <v>12.99</v>
      </c>
      <c r="E167">
        <v>569.66999999999996</v>
      </c>
      <c r="F167" t="s">
        <v>10</v>
      </c>
      <c r="G167" t="s">
        <v>11</v>
      </c>
      <c r="H167" t="s">
        <v>38</v>
      </c>
      <c r="I167" t="s">
        <v>13</v>
      </c>
    </row>
    <row r="168" spans="1:9" x14ac:dyDescent="0.25">
      <c r="A168" s="3">
        <v>10626</v>
      </c>
      <c r="B168" s="1">
        <v>44907</v>
      </c>
      <c r="C168" t="s">
        <v>25</v>
      </c>
      <c r="D168">
        <v>9.9499999999999993</v>
      </c>
      <c r="E168">
        <v>201.01</v>
      </c>
      <c r="F168" t="s">
        <v>10</v>
      </c>
      <c r="G168" t="s">
        <v>11</v>
      </c>
      <c r="H168" t="s">
        <v>38</v>
      </c>
      <c r="I168" t="s">
        <v>13</v>
      </c>
    </row>
    <row r="169" spans="1:9" x14ac:dyDescent="0.25">
      <c r="A169" s="3">
        <v>10627</v>
      </c>
      <c r="B169" s="1">
        <v>44907</v>
      </c>
      <c r="C169" t="s">
        <v>9</v>
      </c>
      <c r="D169">
        <v>3.49</v>
      </c>
      <c r="E169">
        <v>630.37</v>
      </c>
      <c r="F169" t="s">
        <v>10</v>
      </c>
      <c r="G169" t="s">
        <v>11</v>
      </c>
      <c r="H169" t="s">
        <v>38</v>
      </c>
      <c r="I169" t="s">
        <v>13</v>
      </c>
    </row>
    <row r="170" spans="1:9" x14ac:dyDescent="0.25">
      <c r="A170" s="3">
        <v>10628</v>
      </c>
      <c r="B170" s="1">
        <v>44907</v>
      </c>
      <c r="C170" t="s">
        <v>14</v>
      </c>
      <c r="D170">
        <v>2.95</v>
      </c>
      <c r="E170">
        <v>677.97</v>
      </c>
      <c r="F170" t="s">
        <v>10</v>
      </c>
      <c r="G170" t="s">
        <v>11</v>
      </c>
      <c r="H170" t="s">
        <v>35</v>
      </c>
      <c r="I170" t="s">
        <v>20</v>
      </c>
    </row>
    <row r="171" spans="1:9" x14ac:dyDescent="0.25">
      <c r="A171" s="3">
        <v>10629</v>
      </c>
      <c r="B171" s="1">
        <v>44907</v>
      </c>
      <c r="C171" t="s">
        <v>17</v>
      </c>
      <c r="D171">
        <v>4.99</v>
      </c>
      <c r="E171">
        <v>200.4</v>
      </c>
      <c r="F171" t="s">
        <v>10</v>
      </c>
      <c r="G171" t="s">
        <v>11</v>
      </c>
      <c r="H171" t="s">
        <v>35</v>
      </c>
      <c r="I171" t="s">
        <v>20</v>
      </c>
    </row>
    <row r="172" spans="1:9" x14ac:dyDescent="0.25">
      <c r="A172" s="3">
        <v>10630</v>
      </c>
      <c r="B172" s="1">
        <v>44908</v>
      </c>
      <c r="C172" t="s">
        <v>21</v>
      </c>
      <c r="D172">
        <v>12.99</v>
      </c>
      <c r="E172">
        <v>569.66999999999996</v>
      </c>
      <c r="F172" t="s">
        <v>10</v>
      </c>
      <c r="G172" t="s">
        <v>37</v>
      </c>
      <c r="H172" t="s">
        <v>35</v>
      </c>
      <c r="I172" t="s">
        <v>20</v>
      </c>
    </row>
    <row r="173" spans="1:9" x14ac:dyDescent="0.25">
      <c r="A173" s="3">
        <v>10631</v>
      </c>
      <c r="B173" s="1">
        <v>44908</v>
      </c>
      <c r="C173" t="s">
        <v>25</v>
      </c>
      <c r="D173">
        <v>9.9499999999999993</v>
      </c>
      <c r="E173">
        <v>201.01</v>
      </c>
      <c r="F173" t="s">
        <v>10</v>
      </c>
      <c r="G173" t="s">
        <v>11</v>
      </c>
      <c r="H173" t="s">
        <v>35</v>
      </c>
      <c r="I173" t="s">
        <v>20</v>
      </c>
    </row>
    <row r="174" spans="1:9" x14ac:dyDescent="0.25">
      <c r="A174" s="3">
        <v>10632</v>
      </c>
      <c r="B174" s="1">
        <v>44908</v>
      </c>
      <c r="C174" t="s">
        <v>9</v>
      </c>
      <c r="D174">
        <v>3.49</v>
      </c>
      <c r="E174">
        <v>630.37</v>
      </c>
      <c r="F174" t="s">
        <v>10</v>
      </c>
      <c r="G174" t="s">
        <v>11</v>
      </c>
      <c r="H174" t="s">
        <v>35</v>
      </c>
      <c r="I174" t="s">
        <v>20</v>
      </c>
    </row>
    <row r="175" spans="1:9" x14ac:dyDescent="0.25">
      <c r="A175" s="3">
        <v>10633</v>
      </c>
      <c r="B175" s="1">
        <v>44908</v>
      </c>
      <c r="C175" t="s">
        <v>14</v>
      </c>
      <c r="D175">
        <v>2.95</v>
      </c>
      <c r="E175">
        <v>677.97</v>
      </c>
      <c r="F175" t="s">
        <v>10</v>
      </c>
      <c r="G175" t="s">
        <v>11</v>
      </c>
      <c r="H175" t="s">
        <v>35</v>
      </c>
      <c r="I175" t="s">
        <v>20</v>
      </c>
    </row>
    <row r="176" spans="1:9" x14ac:dyDescent="0.25">
      <c r="A176" s="3">
        <v>10634</v>
      </c>
      <c r="B176" s="1">
        <v>44908</v>
      </c>
      <c r="C176" t="s">
        <v>17</v>
      </c>
      <c r="D176">
        <v>4.99</v>
      </c>
      <c r="E176">
        <v>200.4</v>
      </c>
      <c r="F176" t="s">
        <v>10</v>
      </c>
      <c r="G176" t="s">
        <v>11</v>
      </c>
      <c r="H176" t="s">
        <v>35</v>
      </c>
      <c r="I176" t="s">
        <v>20</v>
      </c>
    </row>
    <row r="177" spans="1:9" x14ac:dyDescent="0.25">
      <c r="A177" s="3">
        <v>10635</v>
      </c>
      <c r="B177" s="1">
        <v>44909</v>
      </c>
      <c r="C177" t="s">
        <v>21</v>
      </c>
      <c r="D177">
        <v>12.99</v>
      </c>
      <c r="E177">
        <v>554.27</v>
      </c>
      <c r="F177" t="s">
        <v>10</v>
      </c>
      <c r="G177" t="s">
        <v>11</v>
      </c>
      <c r="H177" t="s">
        <v>35</v>
      </c>
      <c r="I177" t="s">
        <v>20</v>
      </c>
    </row>
    <row r="178" spans="1:9" x14ac:dyDescent="0.25">
      <c r="A178" s="3">
        <v>10636</v>
      </c>
      <c r="B178" s="1">
        <v>44909</v>
      </c>
      <c r="C178" t="s">
        <v>25</v>
      </c>
      <c r="D178">
        <v>9.9499999999999993</v>
      </c>
      <c r="E178">
        <v>221.11</v>
      </c>
      <c r="F178" t="s">
        <v>10</v>
      </c>
      <c r="G178" t="s">
        <v>11</v>
      </c>
      <c r="H178" t="s">
        <v>35</v>
      </c>
      <c r="I178" t="s">
        <v>20</v>
      </c>
    </row>
    <row r="179" spans="1:9" x14ac:dyDescent="0.25">
      <c r="A179" s="3">
        <v>10637</v>
      </c>
      <c r="B179" s="1">
        <v>44909</v>
      </c>
      <c r="C179" t="s">
        <v>9</v>
      </c>
      <c r="D179">
        <v>3.49</v>
      </c>
      <c r="E179">
        <v>630.37</v>
      </c>
      <c r="F179" t="s">
        <v>10</v>
      </c>
      <c r="G179" t="s">
        <v>11</v>
      </c>
      <c r="H179" t="s">
        <v>35</v>
      </c>
      <c r="I179" t="s">
        <v>20</v>
      </c>
    </row>
    <row r="180" spans="1:9" x14ac:dyDescent="0.25">
      <c r="A180" s="3">
        <v>10638</v>
      </c>
      <c r="B180" s="1">
        <v>44909</v>
      </c>
      <c r="C180" t="s">
        <v>14</v>
      </c>
      <c r="D180">
        <v>2.95</v>
      </c>
      <c r="E180">
        <v>677.97</v>
      </c>
      <c r="F180" t="s">
        <v>10</v>
      </c>
      <c r="G180" t="s">
        <v>11</v>
      </c>
      <c r="H180" t="s">
        <v>35</v>
      </c>
      <c r="I180" t="s">
        <v>20</v>
      </c>
    </row>
    <row r="181" spans="1:9" x14ac:dyDescent="0.25">
      <c r="A181" s="3">
        <v>10639</v>
      </c>
      <c r="B181" s="1">
        <v>44909</v>
      </c>
      <c r="C181" t="s">
        <v>17</v>
      </c>
      <c r="D181">
        <v>4.99</v>
      </c>
      <c r="E181">
        <v>200.4</v>
      </c>
      <c r="F181" t="s">
        <v>10</v>
      </c>
      <c r="G181" t="s">
        <v>11</v>
      </c>
      <c r="H181" t="s">
        <v>35</v>
      </c>
      <c r="I181" t="s">
        <v>20</v>
      </c>
    </row>
    <row r="182" spans="1:9" x14ac:dyDescent="0.25">
      <c r="A182" s="3">
        <v>10640</v>
      </c>
      <c r="B182" s="1">
        <v>44910</v>
      </c>
      <c r="C182" t="s">
        <v>21</v>
      </c>
      <c r="D182">
        <v>12.99</v>
      </c>
      <c r="E182">
        <v>538.88</v>
      </c>
      <c r="F182" t="s">
        <v>10</v>
      </c>
      <c r="G182" t="s">
        <v>11</v>
      </c>
      <c r="H182" t="s">
        <v>35</v>
      </c>
      <c r="I182" t="s">
        <v>20</v>
      </c>
    </row>
    <row r="183" spans="1:9" x14ac:dyDescent="0.25">
      <c r="A183" s="3">
        <v>10641</v>
      </c>
      <c r="B183" s="1">
        <v>44910</v>
      </c>
      <c r="C183" t="s">
        <v>25</v>
      </c>
      <c r="D183">
        <v>9.9499999999999993</v>
      </c>
      <c r="E183">
        <v>221.11</v>
      </c>
      <c r="F183" t="s">
        <v>10</v>
      </c>
      <c r="G183" t="s">
        <v>11</v>
      </c>
      <c r="H183" t="s">
        <v>35</v>
      </c>
      <c r="I183" t="s">
        <v>20</v>
      </c>
    </row>
    <row r="184" spans="1:9" x14ac:dyDescent="0.25">
      <c r="A184" s="3">
        <v>10642</v>
      </c>
      <c r="B184" s="1">
        <v>44910</v>
      </c>
      <c r="C184" t="s">
        <v>9</v>
      </c>
      <c r="D184">
        <v>3.49</v>
      </c>
      <c r="E184">
        <v>630.37</v>
      </c>
      <c r="F184" t="s">
        <v>10</v>
      </c>
      <c r="G184" t="s">
        <v>37</v>
      </c>
      <c r="H184" t="s">
        <v>35</v>
      </c>
      <c r="I184" t="s">
        <v>20</v>
      </c>
    </row>
    <row r="185" spans="1:9" x14ac:dyDescent="0.25">
      <c r="A185" s="3">
        <v>10643</v>
      </c>
      <c r="B185" s="1">
        <v>44910</v>
      </c>
      <c r="C185" t="s">
        <v>14</v>
      </c>
      <c r="D185">
        <v>2.95</v>
      </c>
      <c r="E185">
        <v>677.97</v>
      </c>
      <c r="F185" t="s">
        <v>10</v>
      </c>
      <c r="G185" t="s">
        <v>37</v>
      </c>
      <c r="H185" t="s">
        <v>35</v>
      </c>
      <c r="I185" t="s">
        <v>20</v>
      </c>
    </row>
    <row r="186" spans="1:9" x14ac:dyDescent="0.25">
      <c r="A186" s="3">
        <v>10644</v>
      </c>
      <c r="B186" s="1">
        <v>44910</v>
      </c>
      <c r="C186" t="s">
        <v>17</v>
      </c>
      <c r="D186">
        <v>4.99</v>
      </c>
      <c r="E186">
        <v>200.4</v>
      </c>
      <c r="F186" t="s">
        <v>10</v>
      </c>
      <c r="G186" t="s">
        <v>37</v>
      </c>
      <c r="H186" t="s">
        <v>35</v>
      </c>
      <c r="I186" t="s">
        <v>20</v>
      </c>
    </row>
    <row r="187" spans="1:9" x14ac:dyDescent="0.25">
      <c r="A187" s="3">
        <v>10645</v>
      </c>
      <c r="B187" s="1">
        <v>44911</v>
      </c>
      <c r="C187" t="s">
        <v>21</v>
      </c>
      <c r="D187">
        <v>12.99</v>
      </c>
      <c r="E187">
        <v>569.66999999999996</v>
      </c>
      <c r="F187" t="s">
        <v>10</v>
      </c>
      <c r="G187" t="s">
        <v>37</v>
      </c>
      <c r="H187" t="s">
        <v>35</v>
      </c>
      <c r="I187" t="s">
        <v>20</v>
      </c>
    </row>
    <row r="188" spans="1:9" x14ac:dyDescent="0.25">
      <c r="A188" s="3">
        <v>10646</v>
      </c>
      <c r="B188" s="1">
        <v>44911</v>
      </c>
      <c r="C188" t="s">
        <v>25</v>
      </c>
      <c r="D188">
        <v>9.9499999999999993</v>
      </c>
      <c r="E188">
        <v>221.11</v>
      </c>
      <c r="F188" t="s">
        <v>10</v>
      </c>
      <c r="G188" t="s">
        <v>37</v>
      </c>
      <c r="H188" t="s">
        <v>35</v>
      </c>
      <c r="I188" t="s">
        <v>20</v>
      </c>
    </row>
    <row r="189" spans="1:9" x14ac:dyDescent="0.25">
      <c r="A189" s="3">
        <v>10647</v>
      </c>
      <c r="B189" s="1">
        <v>44911</v>
      </c>
      <c r="C189" t="s">
        <v>9</v>
      </c>
      <c r="D189">
        <v>3.49</v>
      </c>
      <c r="E189">
        <v>630.37</v>
      </c>
      <c r="F189" t="s">
        <v>10</v>
      </c>
      <c r="G189" t="s">
        <v>11</v>
      </c>
      <c r="H189" t="s">
        <v>35</v>
      </c>
      <c r="I189" t="s">
        <v>20</v>
      </c>
    </row>
    <row r="190" spans="1:9" x14ac:dyDescent="0.25">
      <c r="A190" s="3">
        <v>10648</v>
      </c>
      <c r="B190" s="1">
        <v>44911</v>
      </c>
      <c r="C190" t="s">
        <v>14</v>
      </c>
      <c r="D190">
        <v>2.95</v>
      </c>
      <c r="E190">
        <v>745.76</v>
      </c>
      <c r="F190" t="s">
        <v>10</v>
      </c>
      <c r="G190" t="s">
        <v>11</v>
      </c>
      <c r="H190" t="s">
        <v>35</v>
      </c>
      <c r="I190" t="s">
        <v>20</v>
      </c>
    </row>
    <row r="191" spans="1:9" x14ac:dyDescent="0.25">
      <c r="A191" s="3">
        <v>10649</v>
      </c>
      <c r="B191" s="1">
        <v>44911</v>
      </c>
      <c r="C191" t="s">
        <v>17</v>
      </c>
      <c r="D191">
        <v>4.99</v>
      </c>
      <c r="E191">
        <v>200.4</v>
      </c>
      <c r="F191" t="s">
        <v>10</v>
      </c>
      <c r="G191" t="s">
        <v>11</v>
      </c>
      <c r="H191" t="s">
        <v>35</v>
      </c>
      <c r="I191" t="s">
        <v>20</v>
      </c>
    </row>
    <row r="192" spans="1:9" x14ac:dyDescent="0.25">
      <c r="A192" s="3">
        <v>10650</v>
      </c>
      <c r="B192" s="1">
        <v>44912</v>
      </c>
      <c r="C192" t="s">
        <v>21</v>
      </c>
      <c r="D192">
        <v>12.99</v>
      </c>
      <c r="E192">
        <v>585.07000000000005</v>
      </c>
      <c r="F192" t="s">
        <v>10</v>
      </c>
      <c r="G192" t="s">
        <v>11</v>
      </c>
      <c r="H192" t="s">
        <v>35</v>
      </c>
      <c r="I192" t="s">
        <v>20</v>
      </c>
    </row>
    <row r="193" spans="1:9" x14ac:dyDescent="0.25">
      <c r="A193" s="3">
        <v>10651</v>
      </c>
      <c r="B193" s="1">
        <v>44912</v>
      </c>
      <c r="C193" t="s">
        <v>25</v>
      </c>
      <c r="D193">
        <v>9.9499999999999993</v>
      </c>
      <c r="E193">
        <v>221.11</v>
      </c>
      <c r="F193" t="s">
        <v>10</v>
      </c>
      <c r="G193" t="s">
        <v>11</v>
      </c>
      <c r="H193" t="s">
        <v>35</v>
      </c>
      <c r="I193" t="s">
        <v>20</v>
      </c>
    </row>
    <row r="194" spans="1:9" x14ac:dyDescent="0.25">
      <c r="A194" s="3">
        <v>10652</v>
      </c>
      <c r="B194" s="1">
        <v>44912</v>
      </c>
      <c r="C194" t="s">
        <v>9</v>
      </c>
      <c r="D194">
        <v>3.49</v>
      </c>
      <c r="E194">
        <v>687.68</v>
      </c>
      <c r="F194" t="s">
        <v>10</v>
      </c>
      <c r="G194" t="s">
        <v>11</v>
      </c>
      <c r="H194" t="s">
        <v>35</v>
      </c>
      <c r="I194" t="s">
        <v>20</v>
      </c>
    </row>
    <row r="195" spans="1:9" x14ac:dyDescent="0.25">
      <c r="A195" s="3">
        <v>10653</v>
      </c>
      <c r="B195" s="1">
        <v>44912</v>
      </c>
      <c r="C195" t="s">
        <v>14</v>
      </c>
      <c r="D195">
        <v>2.95</v>
      </c>
      <c r="E195">
        <v>745.76</v>
      </c>
      <c r="F195" t="s">
        <v>10</v>
      </c>
      <c r="G195" t="s">
        <v>11</v>
      </c>
      <c r="H195" t="s">
        <v>35</v>
      </c>
      <c r="I195" t="s">
        <v>20</v>
      </c>
    </row>
    <row r="196" spans="1:9" x14ac:dyDescent="0.25">
      <c r="A196" s="3">
        <v>10654</v>
      </c>
      <c r="B196" s="1">
        <v>44912</v>
      </c>
      <c r="C196" t="s">
        <v>17</v>
      </c>
      <c r="D196">
        <v>4.99</v>
      </c>
      <c r="E196">
        <v>200.4</v>
      </c>
      <c r="F196" t="s">
        <v>10</v>
      </c>
      <c r="G196" t="s">
        <v>11</v>
      </c>
      <c r="H196" t="s">
        <v>35</v>
      </c>
      <c r="I196" t="s">
        <v>20</v>
      </c>
    </row>
    <row r="197" spans="1:9" x14ac:dyDescent="0.25">
      <c r="A197" s="3">
        <v>10655</v>
      </c>
      <c r="B197" s="1">
        <v>44913</v>
      </c>
      <c r="C197" t="s">
        <v>21</v>
      </c>
      <c r="D197">
        <v>12.99</v>
      </c>
      <c r="E197">
        <v>600.46</v>
      </c>
      <c r="F197" t="s">
        <v>10</v>
      </c>
      <c r="G197" t="s">
        <v>11</v>
      </c>
      <c r="H197" t="s">
        <v>35</v>
      </c>
      <c r="I197" t="s">
        <v>20</v>
      </c>
    </row>
    <row r="198" spans="1:9" x14ac:dyDescent="0.25">
      <c r="A198" s="3">
        <v>10656</v>
      </c>
      <c r="B198" s="1">
        <v>44913</v>
      </c>
      <c r="C198" t="s">
        <v>25</v>
      </c>
      <c r="D198">
        <v>9.9499999999999993</v>
      </c>
      <c r="E198">
        <v>221.11</v>
      </c>
      <c r="F198" t="s">
        <v>10</v>
      </c>
      <c r="G198" t="s">
        <v>11</v>
      </c>
      <c r="H198" t="s">
        <v>35</v>
      </c>
      <c r="I198" t="s">
        <v>20</v>
      </c>
    </row>
    <row r="199" spans="1:9" x14ac:dyDescent="0.25">
      <c r="A199" s="3">
        <v>10657</v>
      </c>
      <c r="B199" s="1">
        <v>44913</v>
      </c>
      <c r="C199" t="s">
        <v>9</v>
      </c>
      <c r="D199">
        <v>3.49</v>
      </c>
      <c r="E199">
        <v>687.68</v>
      </c>
      <c r="F199" t="s">
        <v>10</v>
      </c>
      <c r="G199" t="s">
        <v>11</v>
      </c>
      <c r="H199" t="s">
        <v>35</v>
      </c>
      <c r="I199" t="s">
        <v>20</v>
      </c>
    </row>
    <row r="200" spans="1:9" x14ac:dyDescent="0.25">
      <c r="A200" s="3">
        <v>10658</v>
      </c>
      <c r="B200" s="1">
        <v>44913</v>
      </c>
      <c r="C200" t="s">
        <v>14</v>
      </c>
      <c r="D200">
        <v>2.95</v>
      </c>
      <c r="E200">
        <v>745.76</v>
      </c>
      <c r="F200" t="s">
        <v>10</v>
      </c>
      <c r="G200" t="s">
        <v>37</v>
      </c>
      <c r="H200" t="s">
        <v>35</v>
      </c>
      <c r="I200" t="s">
        <v>20</v>
      </c>
    </row>
    <row r="201" spans="1:9" x14ac:dyDescent="0.25">
      <c r="A201" s="3">
        <v>10659</v>
      </c>
      <c r="B201" s="1">
        <v>44913</v>
      </c>
      <c r="C201" t="s">
        <v>17</v>
      </c>
      <c r="D201">
        <v>4.99</v>
      </c>
      <c r="E201">
        <v>200.4</v>
      </c>
      <c r="F201" t="s">
        <v>10</v>
      </c>
      <c r="G201" t="s">
        <v>37</v>
      </c>
      <c r="H201" t="s">
        <v>35</v>
      </c>
      <c r="I201" t="s">
        <v>20</v>
      </c>
    </row>
    <row r="202" spans="1:9" x14ac:dyDescent="0.25">
      <c r="A202" s="3">
        <v>10660</v>
      </c>
      <c r="B202" s="1">
        <v>44914</v>
      </c>
      <c r="C202" t="s">
        <v>21</v>
      </c>
      <c r="D202">
        <v>12.99</v>
      </c>
      <c r="E202">
        <v>631.25</v>
      </c>
      <c r="F202" t="s">
        <v>18</v>
      </c>
      <c r="G202" t="s">
        <v>37</v>
      </c>
      <c r="H202" t="s">
        <v>35</v>
      </c>
      <c r="I202" t="s">
        <v>20</v>
      </c>
    </row>
    <row r="203" spans="1:9" x14ac:dyDescent="0.25">
      <c r="A203" s="3">
        <v>10661</v>
      </c>
      <c r="B203" s="1">
        <v>44914</v>
      </c>
      <c r="C203" t="s">
        <v>25</v>
      </c>
      <c r="D203">
        <v>9.9499999999999993</v>
      </c>
      <c r="E203">
        <v>221.11</v>
      </c>
      <c r="F203" t="s">
        <v>18</v>
      </c>
      <c r="G203" t="s">
        <v>37</v>
      </c>
      <c r="H203" t="s">
        <v>35</v>
      </c>
      <c r="I203" t="s">
        <v>20</v>
      </c>
    </row>
    <row r="204" spans="1:9" x14ac:dyDescent="0.25">
      <c r="A204" s="3">
        <v>10662</v>
      </c>
      <c r="B204" s="1">
        <v>44914</v>
      </c>
      <c r="C204" t="s">
        <v>9</v>
      </c>
      <c r="D204">
        <v>3.49</v>
      </c>
      <c r="E204">
        <v>630.37</v>
      </c>
      <c r="F204" t="s">
        <v>18</v>
      </c>
      <c r="G204" t="s">
        <v>37</v>
      </c>
      <c r="H204" t="s">
        <v>35</v>
      </c>
      <c r="I204" t="s">
        <v>20</v>
      </c>
    </row>
    <row r="205" spans="1:9" x14ac:dyDescent="0.25">
      <c r="A205" s="3">
        <v>10663</v>
      </c>
      <c r="B205" s="1">
        <v>44914</v>
      </c>
      <c r="C205" t="s">
        <v>14</v>
      </c>
      <c r="D205">
        <v>2.95</v>
      </c>
      <c r="E205">
        <v>745.76</v>
      </c>
      <c r="F205" t="s">
        <v>18</v>
      </c>
      <c r="G205" t="s">
        <v>37</v>
      </c>
      <c r="H205" t="s">
        <v>35</v>
      </c>
      <c r="I205" t="s">
        <v>20</v>
      </c>
    </row>
    <row r="206" spans="1:9" x14ac:dyDescent="0.25">
      <c r="A206" s="3">
        <v>10664</v>
      </c>
      <c r="B206" s="1">
        <v>44914</v>
      </c>
      <c r="C206" t="s">
        <v>17</v>
      </c>
      <c r="D206">
        <v>4.99</v>
      </c>
      <c r="E206">
        <v>200.4</v>
      </c>
      <c r="F206" t="s">
        <v>18</v>
      </c>
      <c r="G206" t="s">
        <v>37</v>
      </c>
      <c r="H206" t="s">
        <v>35</v>
      </c>
      <c r="I206" t="s">
        <v>20</v>
      </c>
    </row>
    <row r="207" spans="1:9" x14ac:dyDescent="0.25">
      <c r="A207" s="3">
        <v>10665</v>
      </c>
      <c r="B207" s="1">
        <v>44915</v>
      </c>
      <c r="C207" t="s">
        <v>21</v>
      </c>
      <c r="D207">
        <v>12.99</v>
      </c>
      <c r="E207">
        <v>646.65</v>
      </c>
      <c r="F207" t="s">
        <v>18</v>
      </c>
      <c r="G207" t="s">
        <v>37</v>
      </c>
      <c r="H207" t="s">
        <v>35</v>
      </c>
      <c r="I207" t="s">
        <v>20</v>
      </c>
    </row>
    <row r="208" spans="1:9" x14ac:dyDescent="0.25">
      <c r="A208" s="3">
        <v>10666</v>
      </c>
      <c r="B208" s="1">
        <v>44915</v>
      </c>
      <c r="C208" t="s">
        <v>25</v>
      </c>
      <c r="D208">
        <v>9.9499999999999993</v>
      </c>
      <c r="E208">
        <v>221.11</v>
      </c>
      <c r="F208" t="s">
        <v>18</v>
      </c>
      <c r="G208" t="s">
        <v>37</v>
      </c>
      <c r="H208" t="s">
        <v>35</v>
      </c>
      <c r="I208" t="s">
        <v>20</v>
      </c>
    </row>
    <row r="209" spans="1:9" x14ac:dyDescent="0.25">
      <c r="A209" s="3">
        <v>10667</v>
      </c>
      <c r="B209" s="1">
        <v>44915</v>
      </c>
      <c r="C209" t="s">
        <v>9</v>
      </c>
      <c r="D209">
        <v>3.49</v>
      </c>
      <c r="E209">
        <v>630.37</v>
      </c>
      <c r="F209" t="s">
        <v>18</v>
      </c>
      <c r="G209" t="s">
        <v>37</v>
      </c>
      <c r="H209" t="s">
        <v>35</v>
      </c>
      <c r="I209" t="s">
        <v>20</v>
      </c>
    </row>
    <row r="210" spans="1:9" x14ac:dyDescent="0.25">
      <c r="A210" s="3">
        <v>10668</v>
      </c>
      <c r="B210" s="1">
        <v>44915</v>
      </c>
      <c r="C210" t="s">
        <v>14</v>
      </c>
      <c r="D210">
        <v>2.95</v>
      </c>
      <c r="E210">
        <v>745.76</v>
      </c>
      <c r="F210" t="s">
        <v>18</v>
      </c>
      <c r="G210" t="s">
        <v>37</v>
      </c>
      <c r="H210" t="s">
        <v>35</v>
      </c>
      <c r="I210" t="s">
        <v>20</v>
      </c>
    </row>
    <row r="211" spans="1:9" x14ac:dyDescent="0.25">
      <c r="A211" s="3">
        <v>10669</v>
      </c>
      <c r="B211" s="1">
        <v>44915</v>
      </c>
      <c r="C211" t="s">
        <v>17</v>
      </c>
      <c r="D211">
        <v>4.99</v>
      </c>
      <c r="E211">
        <v>200.4</v>
      </c>
      <c r="F211" t="s">
        <v>18</v>
      </c>
      <c r="G211" t="s">
        <v>37</v>
      </c>
      <c r="H211" t="s">
        <v>35</v>
      </c>
      <c r="I211" t="s">
        <v>20</v>
      </c>
    </row>
    <row r="212" spans="1:9" x14ac:dyDescent="0.25">
      <c r="A212" s="3">
        <v>10670</v>
      </c>
      <c r="B212" s="1">
        <v>44916</v>
      </c>
      <c r="C212" t="s">
        <v>21</v>
      </c>
      <c r="D212">
        <v>12.99</v>
      </c>
      <c r="E212">
        <v>677.44</v>
      </c>
      <c r="F212" t="s">
        <v>18</v>
      </c>
      <c r="G212" t="s">
        <v>37</v>
      </c>
      <c r="H212" t="s">
        <v>35</v>
      </c>
      <c r="I212" t="s">
        <v>20</v>
      </c>
    </row>
    <row r="213" spans="1:9" x14ac:dyDescent="0.25">
      <c r="A213" s="3">
        <v>10671</v>
      </c>
      <c r="B213" s="1">
        <v>44916</v>
      </c>
      <c r="C213" t="s">
        <v>25</v>
      </c>
      <c r="D213">
        <v>9.9499999999999993</v>
      </c>
      <c r="E213">
        <v>221.11</v>
      </c>
      <c r="F213" t="s">
        <v>18</v>
      </c>
      <c r="G213" t="s">
        <v>37</v>
      </c>
      <c r="H213" t="s">
        <v>35</v>
      </c>
      <c r="I213" t="s">
        <v>20</v>
      </c>
    </row>
    <row r="214" spans="1:9" x14ac:dyDescent="0.25">
      <c r="A214" s="3">
        <v>10672</v>
      </c>
      <c r="B214" s="1">
        <v>44916</v>
      </c>
      <c r="C214" t="s">
        <v>9</v>
      </c>
      <c r="D214">
        <v>3.49</v>
      </c>
      <c r="E214">
        <v>630.37</v>
      </c>
      <c r="F214" t="s">
        <v>18</v>
      </c>
      <c r="G214" t="s">
        <v>37</v>
      </c>
      <c r="H214" t="s">
        <v>35</v>
      </c>
      <c r="I214" t="s">
        <v>20</v>
      </c>
    </row>
    <row r="215" spans="1:9" x14ac:dyDescent="0.25">
      <c r="A215" s="3">
        <v>10673</v>
      </c>
      <c r="B215" s="1">
        <v>44916</v>
      </c>
      <c r="C215" t="s">
        <v>14</v>
      </c>
      <c r="D215">
        <v>2.95</v>
      </c>
      <c r="E215">
        <v>745.76</v>
      </c>
      <c r="F215" t="s">
        <v>18</v>
      </c>
      <c r="G215" t="s">
        <v>37</v>
      </c>
      <c r="H215" t="s">
        <v>35</v>
      </c>
      <c r="I215" t="s">
        <v>20</v>
      </c>
    </row>
    <row r="216" spans="1:9" x14ac:dyDescent="0.25">
      <c r="A216" s="3">
        <v>10674</v>
      </c>
      <c r="B216" s="1">
        <v>44916</v>
      </c>
      <c r="C216" t="s">
        <v>17</v>
      </c>
      <c r="D216">
        <v>4.99</v>
      </c>
      <c r="E216">
        <v>200.4</v>
      </c>
      <c r="F216" t="s">
        <v>18</v>
      </c>
      <c r="G216" t="s">
        <v>37</v>
      </c>
      <c r="H216" t="s">
        <v>35</v>
      </c>
      <c r="I216" t="s">
        <v>20</v>
      </c>
    </row>
    <row r="217" spans="1:9" x14ac:dyDescent="0.25">
      <c r="A217" s="3">
        <v>10675</v>
      </c>
      <c r="B217" s="1">
        <v>44917</v>
      </c>
      <c r="C217" t="s">
        <v>21</v>
      </c>
      <c r="D217">
        <v>12.99</v>
      </c>
      <c r="E217">
        <v>677.44</v>
      </c>
      <c r="F217" t="s">
        <v>18</v>
      </c>
      <c r="G217" t="s">
        <v>37</v>
      </c>
      <c r="H217" t="s">
        <v>35</v>
      </c>
      <c r="I217" t="s">
        <v>20</v>
      </c>
    </row>
    <row r="218" spans="1:9" x14ac:dyDescent="0.25">
      <c r="A218" s="3">
        <v>10676</v>
      </c>
      <c r="B218" s="1">
        <v>44917</v>
      </c>
      <c r="C218" t="s">
        <v>25</v>
      </c>
      <c r="D218">
        <v>9.9499999999999993</v>
      </c>
      <c r="E218">
        <v>241.21</v>
      </c>
      <c r="F218" t="s">
        <v>18</v>
      </c>
      <c r="G218" t="s">
        <v>37</v>
      </c>
      <c r="H218" t="s">
        <v>35</v>
      </c>
      <c r="I218" t="s">
        <v>20</v>
      </c>
    </row>
    <row r="219" spans="1:9" x14ac:dyDescent="0.25">
      <c r="A219" s="3">
        <v>10677</v>
      </c>
      <c r="B219" s="1">
        <v>44917</v>
      </c>
      <c r="C219" t="s">
        <v>9</v>
      </c>
      <c r="D219">
        <v>3.49</v>
      </c>
      <c r="E219">
        <v>630.37</v>
      </c>
      <c r="F219" t="s">
        <v>18</v>
      </c>
      <c r="G219" t="s">
        <v>37</v>
      </c>
      <c r="H219" t="s">
        <v>35</v>
      </c>
      <c r="I219" t="s">
        <v>20</v>
      </c>
    </row>
    <row r="220" spans="1:9" x14ac:dyDescent="0.25">
      <c r="A220" s="3">
        <v>10678</v>
      </c>
      <c r="B220" s="1">
        <v>44917</v>
      </c>
      <c r="C220" t="s">
        <v>14</v>
      </c>
      <c r="D220">
        <v>2.95</v>
      </c>
      <c r="E220">
        <v>745.76</v>
      </c>
      <c r="F220" t="s">
        <v>18</v>
      </c>
      <c r="G220" t="s">
        <v>37</v>
      </c>
      <c r="H220" t="s">
        <v>35</v>
      </c>
      <c r="I220" t="s">
        <v>20</v>
      </c>
    </row>
    <row r="221" spans="1:9" x14ac:dyDescent="0.25">
      <c r="A221" s="3">
        <v>10679</v>
      </c>
      <c r="B221" s="1">
        <v>44917</v>
      </c>
      <c r="C221" t="s">
        <v>17</v>
      </c>
      <c r="D221">
        <v>4.99</v>
      </c>
      <c r="E221">
        <v>200.4</v>
      </c>
      <c r="F221" t="s">
        <v>18</v>
      </c>
      <c r="G221" t="s">
        <v>37</v>
      </c>
      <c r="H221" t="s">
        <v>35</v>
      </c>
      <c r="I221" t="s">
        <v>20</v>
      </c>
    </row>
    <row r="222" spans="1:9" x14ac:dyDescent="0.25">
      <c r="A222" s="3">
        <v>10680</v>
      </c>
      <c r="B222" s="1">
        <v>44918</v>
      </c>
      <c r="C222" t="s">
        <v>21</v>
      </c>
      <c r="D222">
        <v>12.99</v>
      </c>
      <c r="E222">
        <v>646.65</v>
      </c>
      <c r="F222" t="s">
        <v>18</v>
      </c>
      <c r="G222" t="s">
        <v>37</v>
      </c>
      <c r="H222" t="s">
        <v>35</v>
      </c>
      <c r="I222" t="s">
        <v>20</v>
      </c>
    </row>
    <row r="223" spans="1:9" x14ac:dyDescent="0.25">
      <c r="A223" s="3">
        <v>10681</v>
      </c>
      <c r="B223" s="1">
        <v>44918</v>
      </c>
      <c r="C223" t="s">
        <v>25</v>
      </c>
      <c r="D223">
        <v>9.9499999999999993</v>
      </c>
      <c r="E223">
        <v>241.21</v>
      </c>
      <c r="F223" t="s">
        <v>18</v>
      </c>
      <c r="G223" t="s">
        <v>37</v>
      </c>
      <c r="H223" t="s">
        <v>35</v>
      </c>
      <c r="I223" t="s">
        <v>20</v>
      </c>
    </row>
    <row r="224" spans="1:9" x14ac:dyDescent="0.25">
      <c r="A224" s="3">
        <v>10682</v>
      </c>
      <c r="B224" s="1">
        <v>44918</v>
      </c>
      <c r="C224" t="s">
        <v>9</v>
      </c>
      <c r="D224">
        <v>3.49</v>
      </c>
      <c r="E224">
        <v>630.37</v>
      </c>
      <c r="F224" t="s">
        <v>18</v>
      </c>
      <c r="G224" t="s">
        <v>37</v>
      </c>
      <c r="H224" t="s">
        <v>35</v>
      </c>
      <c r="I224" t="s">
        <v>20</v>
      </c>
    </row>
    <row r="225" spans="1:9" x14ac:dyDescent="0.25">
      <c r="A225" s="3">
        <v>10683</v>
      </c>
      <c r="B225" s="1">
        <v>44918</v>
      </c>
      <c r="C225" t="s">
        <v>14</v>
      </c>
      <c r="D225">
        <v>2.95</v>
      </c>
      <c r="E225">
        <v>677.97</v>
      </c>
      <c r="F225" t="s">
        <v>18</v>
      </c>
      <c r="G225" t="s">
        <v>37</v>
      </c>
      <c r="H225" t="s">
        <v>35</v>
      </c>
      <c r="I225" t="s">
        <v>20</v>
      </c>
    </row>
    <row r="226" spans="1:9" x14ac:dyDescent="0.25">
      <c r="A226" s="3">
        <v>10684</v>
      </c>
      <c r="B226" s="1">
        <v>44918</v>
      </c>
      <c r="C226" t="s">
        <v>17</v>
      </c>
      <c r="D226">
        <v>4.99</v>
      </c>
      <c r="E226">
        <v>200.4</v>
      </c>
      <c r="F226" t="s">
        <v>18</v>
      </c>
      <c r="G226" t="s">
        <v>37</v>
      </c>
      <c r="H226" t="s">
        <v>35</v>
      </c>
      <c r="I226" t="s">
        <v>20</v>
      </c>
    </row>
    <row r="227" spans="1:9" x14ac:dyDescent="0.25">
      <c r="A227" s="3">
        <v>10685</v>
      </c>
      <c r="B227" s="1">
        <v>44919</v>
      </c>
      <c r="C227" t="s">
        <v>21</v>
      </c>
      <c r="D227">
        <v>12.99</v>
      </c>
      <c r="E227">
        <v>677.44</v>
      </c>
      <c r="F227" t="s">
        <v>18</v>
      </c>
      <c r="G227" t="s">
        <v>37</v>
      </c>
      <c r="H227" t="s">
        <v>35</v>
      </c>
      <c r="I227" t="s">
        <v>20</v>
      </c>
    </row>
    <row r="228" spans="1:9" x14ac:dyDescent="0.25">
      <c r="A228" s="3">
        <v>10686</v>
      </c>
      <c r="B228" s="1">
        <v>44919</v>
      </c>
      <c r="C228" t="s">
        <v>25</v>
      </c>
      <c r="D228">
        <v>9.9499999999999993</v>
      </c>
      <c r="E228">
        <v>241.21</v>
      </c>
      <c r="F228" t="s">
        <v>18</v>
      </c>
      <c r="G228" t="s">
        <v>37</v>
      </c>
      <c r="H228" t="s">
        <v>35</v>
      </c>
      <c r="I228" t="s">
        <v>20</v>
      </c>
    </row>
    <row r="229" spans="1:9" x14ac:dyDescent="0.25">
      <c r="A229" s="3">
        <v>10687</v>
      </c>
      <c r="B229" s="1">
        <v>44919</v>
      </c>
      <c r="C229" t="s">
        <v>9</v>
      </c>
      <c r="D229">
        <v>3.49</v>
      </c>
      <c r="E229">
        <v>630.37</v>
      </c>
      <c r="F229" t="s">
        <v>18</v>
      </c>
      <c r="G229" t="s">
        <v>37</v>
      </c>
      <c r="H229" t="s">
        <v>23</v>
      </c>
      <c r="I229" t="s">
        <v>24</v>
      </c>
    </row>
    <row r="230" spans="1:9" x14ac:dyDescent="0.25">
      <c r="A230" s="3">
        <v>10688</v>
      </c>
      <c r="B230" s="1">
        <v>44919</v>
      </c>
      <c r="C230" t="s">
        <v>14</v>
      </c>
      <c r="D230">
        <v>2.95</v>
      </c>
      <c r="E230">
        <v>677.97</v>
      </c>
      <c r="F230" t="s">
        <v>18</v>
      </c>
      <c r="G230" t="s">
        <v>37</v>
      </c>
      <c r="H230" t="s">
        <v>23</v>
      </c>
      <c r="I230" t="s">
        <v>24</v>
      </c>
    </row>
    <row r="231" spans="1:9" x14ac:dyDescent="0.25">
      <c r="A231" s="3">
        <v>10689</v>
      </c>
      <c r="B231" s="1">
        <v>44919</v>
      </c>
      <c r="C231" t="s">
        <v>17</v>
      </c>
      <c r="D231">
        <v>4.99</v>
      </c>
      <c r="E231">
        <v>200.4</v>
      </c>
      <c r="F231" t="s">
        <v>18</v>
      </c>
      <c r="G231" t="s">
        <v>37</v>
      </c>
      <c r="H231" t="s">
        <v>23</v>
      </c>
      <c r="I231" t="s">
        <v>24</v>
      </c>
    </row>
    <row r="232" spans="1:9" x14ac:dyDescent="0.25">
      <c r="A232" s="3">
        <v>10690</v>
      </c>
      <c r="B232" s="1">
        <v>44920</v>
      </c>
      <c r="C232" t="s">
        <v>21</v>
      </c>
      <c r="D232">
        <v>12.99</v>
      </c>
      <c r="E232">
        <v>677.44</v>
      </c>
      <c r="F232" t="s">
        <v>18</v>
      </c>
      <c r="G232" t="s">
        <v>37</v>
      </c>
      <c r="H232" t="s">
        <v>23</v>
      </c>
      <c r="I232" t="s">
        <v>24</v>
      </c>
    </row>
    <row r="233" spans="1:9" x14ac:dyDescent="0.25">
      <c r="A233" s="3">
        <v>10691</v>
      </c>
      <c r="B233" s="1">
        <v>44920</v>
      </c>
      <c r="C233" t="s">
        <v>25</v>
      </c>
      <c r="D233">
        <v>9.9499999999999993</v>
      </c>
      <c r="E233">
        <v>261.31</v>
      </c>
      <c r="F233" t="s">
        <v>18</v>
      </c>
      <c r="G233" t="s">
        <v>37</v>
      </c>
      <c r="H233" t="s">
        <v>23</v>
      </c>
      <c r="I233" t="s">
        <v>24</v>
      </c>
    </row>
    <row r="234" spans="1:9" x14ac:dyDescent="0.25">
      <c r="A234" s="3">
        <v>10692</v>
      </c>
      <c r="B234" s="1">
        <v>44920</v>
      </c>
      <c r="C234" t="s">
        <v>9</v>
      </c>
      <c r="D234">
        <v>3.49</v>
      </c>
      <c r="E234">
        <v>630.37</v>
      </c>
      <c r="F234" t="s">
        <v>18</v>
      </c>
      <c r="G234" t="s">
        <v>37</v>
      </c>
      <c r="H234" t="s">
        <v>23</v>
      </c>
      <c r="I234" t="s">
        <v>24</v>
      </c>
    </row>
    <row r="235" spans="1:9" x14ac:dyDescent="0.25">
      <c r="A235" s="3">
        <v>10693</v>
      </c>
      <c r="B235" s="1">
        <v>44920</v>
      </c>
      <c r="C235" t="s">
        <v>14</v>
      </c>
      <c r="D235">
        <v>2.95</v>
      </c>
      <c r="E235">
        <v>677.97</v>
      </c>
      <c r="F235" t="s">
        <v>18</v>
      </c>
      <c r="G235" t="s">
        <v>37</v>
      </c>
      <c r="H235" t="s">
        <v>23</v>
      </c>
      <c r="I235" t="s">
        <v>24</v>
      </c>
    </row>
    <row r="236" spans="1:9" x14ac:dyDescent="0.25">
      <c r="A236" s="3">
        <v>10694</v>
      </c>
      <c r="B236" s="1">
        <v>44920</v>
      </c>
      <c r="C236" t="s">
        <v>17</v>
      </c>
      <c r="D236">
        <v>4.99</v>
      </c>
      <c r="E236">
        <v>200.4</v>
      </c>
      <c r="F236" t="s">
        <v>18</v>
      </c>
      <c r="G236" t="s">
        <v>37</v>
      </c>
      <c r="H236" t="s">
        <v>23</v>
      </c>
      <c r="I236" t="s">
        <v>24</v>
      </c>
    </row>
    <row r="237" spans="1:9" x14ac:dyDescent="0.25">
      <c r="A237" s="3">
        <v>10695</v>
      </c>
      <c r="B237" s="1">
        <v>44921</v>
      </c>
      <c r="C237" t="s">
        <v>21</v>
      </c>
      <c r="D237">
        <v>12.99</v>
      </c>
      <c r="E237">
        <v>692.84</v>
      </c>
      <c r="F237" t="s">
        <v>18</v>
      </c>
      <c r="G237" t="s">
        <v>37</v>
      </c>
      <c r="H237" t="s">
        <v>23</v>
      </c>
      <c r="I237" t="s">
        <v>24</v>
      </c>
    </row>
    <row r="238" spans="1:9" x14ac:dyDescent="0.25">
      <c r="A238" s="3">
        <v>10696</v>
      </c>
      <c r="B238" s="1">
        <v>44921</v>
      </c>
      <c r="C238" t="s">
        <v>25</v>
      </c>
      <c r="D238">
        <v>9.9499999999999993</v>
      </c>
      <c r="E238">
        <v>281.41000000000003</v>
      </c>
      <c r="F238" t="s">
        <v>18</v>
      </c>
      <c r="G238" t="s">
        <v>37</v>
      </c>
      <c r="H238" t="s">
        <v>23</v>
      </c>
      <c r="I238" t="s">
        <v>24</v>
      </c>
    </row>
    <row r="239" spans="1:9" x14ac:dyDescent="0.25">
      <c r="A239" s="3">
        <v>10697</v>
      </c>
      <c r="B239" s="1">
        <v>44921</v>
      </c>
      <c r="C239" t="s">
        <v>9</v>
      </c>
      <c r="D239">
        <v>3.49</v>
      </c>
      <c r="E239">
        <v>630.37</v>
      </c>
      <c r="F239" t="s">
        <v>18</v>
      </c>
      <c r="G239" t="s">
        <v>37</v>
      </c>
      <c r="H239" t="s">
        <v>23</v>
      </c>
      <c r="I239" t="s">
        <v>24</v>
      </c>
    </row>
    <row r="240" spans="1:9" x14ac:dyDescent="0.25">
      <c r="A240" s="3">
        <v>10698</v>
      </c>
      <c r="B240" s="1">
        <v>44921</v>
      </c>
      <c r="C240" t="s">
        <v>14</v>
      </c>
      <c r="D240">
        <v>2.95</v>
      </c>
      <c r="E240">
        <v>677.97</v>
      </c>
      <c r="F240" t="s">
        <v>18</v>
      </c>
      <c r="G240" t="s">
        <v>37</v>
      </c>
      <c r="H240" t="s">
        <v>23</v>
      </c>
      <c r="I240" t="s">
        <v>24</v>
      </c>
    </row>
    <row r="241" spans="1:9" x14ac:dyDescent="0.25">
      <c r="A241" s="3">
        <v>10699</v>
      </c>
      <c r="B241" s="1">
        <v>44921</v>
      </c>
      <c r="C241" t="s">
        <v>17</v>
      </c>
      <c r="D241">
        <v>4.99</v>
      </c>
      <c r="E241">
        <v>200.4</v>
      </c>
      <c r="F241" t="s">
        <v>18</v>
      </c>
      <c r="G241" t="s">
        <v>37</v>
      </c>
      <c r="H241" t="s">
        <v>23</v>
      </c>
      <c r="I241" t="s">
        <v>24</v>
      </c>
    </row>
    <row r="242" spans="1:9" x14ac:dyDescent="0.25">
      <c r="A242" s="3">
        <v>10700</v>
      </c>
      <c r="B242" s="1">
        <v>44922</v>
      </c>
      <c r="C242" t="s">
        <v>21</v>
      </c>
      <c r="D242">
        <v>12.99</v>
      </c>
      <c r="E242">
        <v>692.84</v>
      </c>
      <c r="F242" t="s">
        <v>18</v>
      </c>
      <c r="G242" t="s">
        <v>37</v>
      </c>
      <c r="H242" t="s">
        <v>23</v>
      </c>
      <c r="I242" t="s">
        <v>24</v>
      </c>
    </row>
    <row r="243" spans="1:9" x14ac:dyDescent="0.25">
      <c r="A243" s="3">
        <v>10701</v>
      </c>
      <c r="B243" s="1">
        <v>44922</v>
      </c>
      <c r="C243" t="s">
        <v>25</v>
      </c>
      <c r="D243">
        <v>9.9499999999999993</v>
      </c>
      <c r="E243">
        <v>281.41000000000003</v>
      </c>
      <c r="F243" t="s">
        <v>18</v>
      </c>
      <c r="G243" t="s">
        <v>37</v>
      </c>
      <c r="H243" t="s">
        <v>23</v>
      </c>
      <c r="I243" t="s">
        <v>24</v>
      </c>
    </row>
    <row r="244" spans="1:9" x14ac:dyDescent="0.25">
      <c r="A244" s="3">
        <v>10702</v>
      </c>
      <c r="B244" s="1">
        <v>44922</v>
      </c>
      <c r="C244" t="s">
        <v>9</v>
      </c>
      <c r="D244">
        <v>3.49</v>
      </c>
      <c r="E244">
        <v>630.37</v>
      </c>
      <c r="F244" t="s">
        <v>18</v>
      </c>
      <c r="G244" t="s">
        <v>37</v>
      </c>
      <c r="H244" t="s">
        <v>23</v>
      </c>
      <c r="I244" t="s">
        <v>24</v>
      </c>
    </row>
    <row r="245" spans="1:9" x14ac:dyDescent="0.25">
      <c r="A245" s="3">
        <v>10703</v>
      </c>
      <c r="B245" s="1">
        <v>44922</v>
      </c>
      <c r="C245" t="s">
        <v>14</v>
      </c>
      <c r="D245">
        <v>2.95</v>
      </c>
      <c r="E245">
        <v>677.97</v>
      </c>
      <c r="F245" t="s">
        <v>18</v>
      </c>
      <c r="G245" t="s">
        <v>11</v>
      </c>
      <c r="H245" t="s">
        <v>23</v>
      </c>
      <c r="I245" t="s">
        <v>24</v>
      </c>
    </row>
    <row r="246" spans="1:9" x14ac:dyDescent="0.25">
      <c r="A246" s="3">
        <v>10704</v>
      </c>
      <c r="B246" s="1">
        <v>44922</v>
      </c>
      <c r="C246" t="s">
        <v>17</v>
      </c>
      <c r="D246">
        <v>4.99</v>
      </c>
      <c r="E246">
        <v>200.4</v>
      </c>
      <c r="F246" t="s">
        <v>36</v>
      </c>
      <c r="G246" t="s">
        <v>11</v>
      </c>
      <c r="H246" t="s">
        <v>23</v>
      </c>
      <c r="I246" t="s">
        <v>24</v>
      </c>
    </row>
    <row r="247" spans="1:9" x14ac:dyDescent="0.25">
      <c r="A247" s="3">
        <v>10705</v>
      </c>
      <c r="B247" s="1">
        <v>44923</v>
      </c>
      <c r="C247" t="s">
        <v>21</v>
      </c>
      <c r="D247">
        <v>12.99</v>
      </c>
      <c r="E247">
        <v>723.63</v>
      </c>
      <c r="F247" t="s">
        <v>36</v>
      </c>
      <c r="G247" t="s">
        <v>11</v>
      </c>
      <c r="H247" t="s">
        <v>23</v>
      </c>
      <c r="I247" t="s">
        <v>24</v>
      </c>
    </row>
    <row r="248" spans="1:9" x14ac:dyDescent="0.25">
      <c r="A248" s="3">
        <v>10706</v>
      </c>
      <c r="B248" s="1">
        <v>44923</v>
      </c>
      <c r="C248" t="s">
        <v>25</v>
      </c>
      <c r="D248">
        <v>9.9499999999999993</v>
      </c>
      <c r="E248">
        <v>301.51</v>
      </c>
      <c r="F248" t="s">
        <v>36</v>
      </c>
      <c r="G248" t="s">
        <v>11</v>
      </c>
      <c r="H248" t="s">
        <v>23</v>
      </c>
      <c r="I248" t="s">
        <v>24</v>
      </c>
    </row>
    <row r="249" spans="1:9" x14ac:dyDescent="0.25">
      <c r="A249" s="3">
        <v>10707</v>
      </c>
      <c r="B249" s="1">
        <v>44923</v>
      </c>
      <c r="C249" t="s">
        <v>9</v>
      </c>
      <c r="D249">
        <v>3.49</v>
      </c>
      <c r="E249">
        <v>630.37</v>
      </c>
      <c r="F249" t="s">
        <v>36</v>
      </c>
      <c r="G249" t="s">
        <v>11</v>
      </c>
      <c r="H249" t="s">
        <v>23</v>
      </c>
      <c r="I249" t="s">
        <v>24</v>
      </c>
    </row>
    <row r="250" spans="1:9" x14ac:dyDescent="0.25">
      <c r="A250" s="3">
        <v>10708</v>
      </c>
      <c r="B250" s="1">
        <v>44923</v>
      </c>
      <c r="C250" t="s">
        <v>14</v>
      </c>
      <c r="D250">
        <v>2.95</v>
      </c>
      <c r="E250">
        <v>677.97</v>
      </c>
      <c r="F250" t="s">
        <v>36</v>
      </c>
      <c r="G250" t="s">
        <v>11</v>
      </c>
      <c r="H250" t="s">
        <v>23</v>
      </c>
      <c r="I250" t="s">
        <v>24</v>
      </c>
    </row>
    <row r="251" spans="1:9" x14ac:dyDescent="0.25">
      <c r="A251" s="3">
        <v>10709</v>
      </c>
      <c r="B251" s="1">
        <v>44923</v>
      </c>
      <c r="C251" t="s">
        <v>17</v>
      </c>
      <c r="D251">
        <v>4.99</v>
      </c>
      <c r="E251">
        <v>200.4</v>
      </c>
      <c r="F251" t="s">
        <v>36</v>
      </c>
      <c r="G251" t="s">
        <v>11</v>
      </c>
      <c r="H251" t="s">
        <v>23</v>
      </c>
      <c r="I251" t="s">
        <v>24</v>
      </c>
    </row>
    <row r="252" spans="1:9" x14ac:dyDescent="0.25">
      <c r="A252" s="3">
        <v>10710</v>
      </c>
      <c r="B252" s="1">
        <v>44924</v>
      </c>
      <c r="C252" t="s">
        <v>21</v>
      </c>
      <c r="D252">
        <v>12.99</v>
      </c>
      <c r="E252">
        <v>754.43</v>
      </c>
      <c r="F252" t="s">
        <v>36</v>
      </c>
      <c r="G252" t="s">
        <v>11</v>
      </c>
      <c r="H252" t="s">
        <v>23</v>
      </c>
      <c r="I252" t="s">
        <v>24</v>
      </c>
    </row>
    <row r="253" spans="1:9" x14ac:dyDescent="0.25">
      <c r="A253" s="3">
        <v>10711</v>
      </c>
      <c r="B253" s="1">
        <v>44924</v>
      </c>
      <c r="C253" t="s">
        <v>25</v>
      </c>
      <c r="D253">
        <v>9.9499999999999993</v>
      </c>
      <c r="E253">
        <v>281.41000000000003</v>
      </c>
      <c r="F253" t="s">
        <v>36</v>
      </c>
      <c r="G253" t="s">
        <v>11</v>
      </c>
      <c r="H253" t="s">
        <v>23</v>
      </c>
      <c r="I253" t="s">
        <v>24</v>
      </c>
    </row>
    <row r="254" spans="1:9" x14ac:dyDescent="0.25">
      <c r="A254" s="3">
        <v>10712</v>
      </c>
      <c r="B254" s="1">
        <v>44924</v>
      </c>
      <c r="C254" t="s">
        <v>9</v>
      </c>
      <c r="D254">
        <v>3.49</v>
      </c>
      <c r="E254">
        <v>630.37</v>
      </c>
      <c r="F254" t="s">
        <v>36</v>
      </c>
      <c r="G254" t="s">
        <v>11</v>
      </c>
      <c r="H254" t="s">
        <v>23</v>
      </c>
      <c r="I254" t="s">
        <v>24</v>
      </c>
    </row>
    <row r="255" spans="1:9" x14ac:dyDescent="0.25">
      <c r="A255" s="3">
        <v>10713</v>
      </c>
      <c r="B255" s="1">
        <v>44924</v>
      </c>
      <c r="C255" t="s">
        <v>14</v>
      </c>
      <c r="D255">
        <v>2.95</v>
      </c>
      <c r="E255">
        <v>677.97</v>
      </c>
      <c r="F255" t="s">
        <v>36</v>
      </c>
      <c r="G255" t="s">
        <v>11</v>
      </c>
      <c r="H255" t="s">
        <v>23</v>
      </c>
      <c r="I25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5"/>
  <sheetViews>
    <sheetView workbookViewId="0">
      <selection activeCell="M9" sqref="M9"/>
    </sheetView>
  </sheetViews>
  <sheetFormatPr defaultRowHeight="15" x14ac:dyDescent="0.25"/>
  <cols>
    <col min="1" max="1" width="10.5703125" customWidth="1"/>
    <col min="2" max="2" width="8.42578125" style="1" bestFit="1" customWidth="1"/>
    <col min="3" max="3" width="19.140625" bestFit="1" customWidth="1"/>
    <col min="4" max="4" width="9.140625" style="2"/>
    <col min="5" max="5" width="10.85546875" style="3" customWidth="1"/>
    <col min="6" max="6" width="15.85546875" customWidth="1"/>
    <col min="7" max="7" width="18.5703125" customWidth="1"/>
    <col min="8" max="8" width="15.42578125" bestFit="1" customWidth="1"/>
    <col min="10" max="10" width="15.42578125" customWidth="1"/>
    <col min="12" max="12" width="20.85546875" bestFit="1" customWidth="1"/>
    <col min="13" max="13" width="11.5703125" bestFit="1" customWidth="1"/>
  </cols>
  <sheetData>
    <row r="1" spans="1:13" x14ac:dyDescent="0.25">
      <c r="A1" t="s">
        <v>0</v>
      </c>
      <c r="B1" s="1" t="s">
        <v>1</v>
      </c>
      <c r="C1" t="s">
        <v>2</v>
      </c>
      <c r="D1" s="2" t="s">
        <v>3</v>
      </c>
      <c r="E1" s="3" t="s">
        <v>4</v>
      </c>
      <c r="F1" t="s">
        <v>5</v>
      </c>
      <c r="G1" t="s">
        <v>6</v>
      </c>
      <c r="H1" t="s">
        <v>7</v>
      </c>
      <c r="I1" t="s">
        <v>8</v>
      </c>
      <c r="J1" t="s">
        <v>45</v>
      </c>
    </row>
    <row r="2" spans="1:13" x14ac:dyDescent="0.25">
      <c r="A2" s="3">
        <v>10452</v>
      </c>
      <c r="B2" s="1">
        <v>44872</v>
      </c>
      <c r="C2" t="s">
        <v>9</v>
      </c>
      <c r="D2" s="2">
        <v>3.49</v>
      </c>
      <c r="E2" s="3">
        <v>573.07000000000005</v>
      </c>
      <c r="F2" t="s">
        <v>39</v>
      </c>
      <c r="G2" t="s">
        <v>42</v>
      </c>
      <c r="H2" t="s">
        <v>38</v>
      </c>
      <c r="I2" t="s">
        <v>13</v>
      </c>
      <c r="J2" s="2">
        <f>E2*D2</f>
        <v>2000.0143000000003</v>
      </c>
    </row>
    <row r="3" spans="1:13" x14ac:dyDescent="0.25">
      <c r="A3" s="3">
        <v>10453</v>
      </c>
      <c r="B3" s="1">
        <v>44872</v>
      </c>
      <c r="C3" t="s">
        <v>14</v>
      </c>
      <c r="D3" s="2">
        <v>2.95</v>
      </c>
      <c r="E3" s="3">
        <v>745.76</v>
      </c>
      <c r="F3" t="s">
        <v>39</v>
      </c>
      <c r="G3" t="s">
        <v>42</v>
      </c>
      <c r="H3" t="s">
        <v>31</v>
      </c>
      <c r="I3" t="s">
        <v>16</v>
      </c>
      <c r="J3" s="2">
        <f t="shared" ref="J3:J66" si="0">E3*D3</f>
        <v>2199.9920000000002</v>
      </c>
    </row>
    <row r="4" spans="1:13" x14ac:dyDescent="0.25">
      <c r="A4" s="3">
        <v>10454</v>
      </c>
      <c r="B4" s="1">
        <v>44872</v>
      </c>
      <c r="C4" t="s">
        <v>17</v>
      </c>
      <c r="D4" s="2">
        <v>4.99</v>
      </c>
      <c r="E4" s="3">
        <v>200.4</v>
      </c>
      <c r="F4" t="s">
        <v>40</v>
      </c>
      <c r="G4" t="s">
        <v>42</v>
      </c>
      <c r="H4" t="s">
        <v>35</v>
      </c>
      <c r="I4" t="s">
        <v>20</v>
      </c>
      <c r="J4" s="2">
        <f t="shared" si="0"/>
        <v>999.99600000000009</v>
      </c>
    </row>
    <row r="5" spans="1:13" x14ac:dyDescent="0.25">
      <c r="A5" s="3">
        <v>10455</v>
      </c>
      <c r="B5" s="1">
        <v>44873</v>
      </c>
      <c r="C5" t="s">
        <v>21</v>
      </c>
      <c r="D5" s="2">
        <v>12.99</v>
      </c>
      <c r="E5" s="3">
        <v>569.66999999999996</v>
      </c>
      <c r="F5" t="s">
        <v>40</v>
      </c>
      <c r="G5" t="s">
        <v>43</v>
      </c>
      <c r="H5" t="s">
        <v>23</v>
      </c>
      <c r="I5" t="s">
        <v>24</v>
      </c>
      <c r="J5" s="2">
        <f t="shared" si="0"/>
        <v>7400.0132999999996</v>
      </c>
      <c r="L5" t="s">
        <v>72</v>
      </c>
      <c r="M5">
        <f>SUM(Table1[Total revenue])</f>
        <v>769515.85920000018</v>
      </c>
    </row>
    <row r="6" spans="1:13" x14ac:dyDescent="0.25">
      <c r="A6" s="3">
        <v>10456</v>
      </c>
      <c r="B6" s="1">
        <v>44873</v>
      </c>
      <c r="C6" t="s">
        <v>25</v>
      </c>
      <c r="D6" s="2">
        <v>9.9499999999999993</v>
      </c>
      <c r="E6" s="3">
        <v>201.01</v>
      </c>
      <c r="F6" t="s">
        <v>40</v>
      </c>
      <c r="G6" t="s">
        <v>43</v>
      </c>
      <c r="H6" t="s">
        <v>23</v>
      </c>
      <c r="I6" t="s">
        <v>24</v>
      </c>
      <c r="J6" s="2">
        <f t="shared" si="0"/>
        <v>2000.0494999999999</v>
      </c>
    </row>
    <row r="7" spans="1:13" x14ac:dyDescent="0.25">
      <c r="A7" s="3">
        <v>10457</v>
      </c>
      <c r="B7" s="1">
        <v>44873</v>
      </c>
      <c r="C7" t="s">
        <v>9</v>
      </c>
      <c r="D7" s="2">
        <v>3.49</v>
      </c>
      <c r="E7" s="3">
        <v>573.07000000000005</v>
      </c>
      <c r="F7" t="s">
        <v>40</v>
      </c>
      <c r="G7" t="s">
        <v>43</v>
      </c>
      <c r="H7" t="s">
        <v>28</v>
      </c>
      <c r="I7" t="s">
        <v>27</v>
      </c>
      <c r="J7" s="2">
        <f t="shared" si="0"/>
        <v>2000.0143000000003</v>
      </c>
      <c r="L7" t="s">
        <v>73</v>
      </c>
      <c r="M7" s="3">
        <f>COUNTA(Table1[Order ID])</f>
        <v>254</v>
      </c>
    </row>
    <row r="8" spans="1:13" x14ac:dyDescent="0.25">
      <c r="A8" s="3">
        <v>10459</v>
      </c>
      <c r="B8" s="1">
        <v>44873</v>
      </c>
      <c r="C8" t="s">
        <v>17</v>
      </c>
      <c r="D8" s="2">
        <v>4.99</v>
      </c>
      <c r="E8" s="3">
        <v>200.4</v>
      </c>
      <c r="F8" t="s">
        <v>40</v>
      </c>
      <c r="G8" t="s">
        <v>43</v>
      </c>
      <c r="H8" t="s">
        <v>23</v>
      </c>
      <c r="I8" t="s">
        <v>24</v>
      </c>
      <c r="J8" s="2">
        <f t="shared" si="0"/>
        <v>999.99600000000009</v>
      </c>
    </row>
    <row r="9" spans="1:13" x14ac:dyDescent="0.25">
      <c r="A9" s="3">
        <v>10460</v>
      </c>
      <c r="B9" s="1">
        <v>44874</v>
      </c>
      <c r="C9" t="s">
        <v>21</v>
      </c>
      <c r="D9" s="2">
        <v>12.99</v>
      </c>
      <c r="E9" s="3">
        <v>554.27</v>
      </c>
      <c r="F9" t="s">
        <v>40</v>
      </c>
      <c r="G9" t="s">
        <v>43</v>
      </c>
      <c r="H9" t="s">
        <v>28</v>
      </c>
      <c r="I9" t="s">
        <v>27</v>
      </c>
      <c r="J9" s="2">
        <f t="shared" si="0"/>
        <v>7199.9673000000003</v>
      </c>
      <c r="L9" t="s">
        <v>74</v>
      </c>
      <c r="M9" s="3">
        <f>SUM(Table1[Quantity])</f>
        <v>116995.30999999987</v>
      </c>
    </row>
    <row r="10" spans="1:13" x14ac:dyDescent="0.25">
      <c r="A10" s="3">
        <v>10461</v>
      </c>
      <c r="B10" s="1">
        <v>44874</v>
      </c>
      <c r="C10" t="s">
        <v>25</v>
      </c>
      <c r="D10" s="2">
        <v>9.9499999999999993</v>
      </c>
      <c r="E10" s="3">
        <v>201.01</v>
      </c>
      <c r="F10" t="s">
        <v>40</v>
      </c>
      <c r="G10" t="s">
        <v>43</v>
      </c>
      <c r="H10" t="s">
        <v>28</v>
      </c>
      <c r="I10" t="s">
        <v>27</v>
      </c>
      <c r="J10" s="2">
        <f t="shared" si="0"/>
        <v>2000.0494999999999</v>
      </c>
    </row>
    <row r="11" spans="1:13" x14ac:dyDescent="0.25">
      <c r="A11" s="3">
        <v>10462</v>
      </c>
      <c r="B11" s="1">
        <v>44874</v>
      </c>
      <c r="C11" t="s">
        <v>9</v>
      </c>
      <c r="D11" s="2">
        <v>3.49</v>
      </c>
      <c r="E11" s="3">
        <v>573.07000000000005</v>
      </c>
      <c r="F11" t="s">
        <v>40</v>
      </c>
      <c r="G11" t="s">
        <v>43</v>
      </c>
      <c r="H11" t="s">
        <v>28</v>
      </c>
      <c r="I11" t="s">
        <v>27</v>
      </c>
      <c r="J11" s="2">
        <f t="shared" si="0"/>
        <v>2000.0143000000003</v>
      </c>
    </row>
    <row r="12" spans="1:13" x14ac:dyDescent="0.25">
      <c r="A12" s="3">
        <v>10463</v>
      </c>
      <c r="B12" s="1">
        <v>44874</v>
      </c>
      <c r="C12" t="s">
        <v>14</v>
      </c>
      <c r="D12" s="2">
        <v>2.95</v>
      </c>
      <c r="E12" s="3">
        <v>677.97</v>
      </c>
      <c r="F12" t="s">
        <v>40</v>
      </c>
      <c r="G12" t="s">
        <v>43</v>
      </c>
      <c r="H12" t="s">
        <v>28</v>
      </c>
      <c r="I12" t="s">
        <v>27</v>
      </c>
      <c r="J12" s="2">
        <f t="shared" si="0"/>
        <v>2000.0115000000003</v>
      </c>
    </row>
    <row r="13" spans="1:13" x14ac:dyDescent="0.25">
      <c r="A13" s="3">
        <v>10464</v>
      </c>
      <c r="B13" s="1">
        <v>44874</v>
      </c>
      <c r="C13" t="s">
        <v>17</v>
      </c>
      <c r="D13" s="2">
        <v>4.99</v>
      </c>
      <c r="E13" s="3">
        <v>200.4</v>
      </c>
      <c r="F13" t="s">
        <v>40</v>
      </c>
      <c r="G13" t="s">
        <v>43</v>
      </c>
      <c r="H13" t="s">
        <v>28</v>
      </c>
      <c r="I13" t="s">
        <v>27</v>
      </c>
      <c r="J13" s="2">
        <f t="shared" si="0"/>
        <v>999.99600000000009</v>
      </c>
    </row>
    <row r="14" spans="1:13" x14ac:dyDescent="0.25">
      <c r="A14" s="3">
        <v>10465</v>
      </c>
      <c r="B14" s="1">
        <v>44875</v>
      </c>
      <c r="C14" t="s">
        <v>21</v>
      </c>
      <c r="D14" s="2">
        <v>12.99</v>
      </c>
      <c r="E14" s="3">
        <v>554.27</v>
      </c>
      <c r="F14" t="s">
        <v>40</v>
      </c>
      <c r="G14" t="s">
        <v>43</v>
      </c>
      <c r="H14" t="s">
        <v>31</v>
      </c>
      <c r="I14" t="s">
        <v>16</v>
      </c>
      <c r="J14" s="2">
        <f t="shared" si="0"/>
        <v>7199.9673000000003</v>
      </c>
    </row>
    <row r="15" spans="1:13" x14ac:dyDescent="0.25">
      <c r="A15" s="3">
        <v>10466</v>
      </c>
      <c r="B15" s="1">
        <v>44875</v>
      </c>
      <c r="C15" t="s">
        <v>25</v>
      </c>
      <c r="D15" s="2">
        <v>9.9499999999999993</v>
      </c>
      <c r="E15" s="3">
        <v>201.01</v>
      </c>
      <c r="F15" t="s">
        <v>40</v>
      </c>
      <c r="G15" t="s">
        <v>43</v>
      </c>
      <c r="H15" t="s">
        <v>31</v>
      </c>
      <c r="I15" t="s">
        <v>16</v>
      </c>
      <c r="J15" s="2">
        <f t="shared" si="0"/>
        <v>2000.0494999999999</v>
      </c>
    </row>
    <row r="16" spans="1:13" x14ac:dyDescent="0.25">
      <c r="A16" s="3">
        <v>10467</v>
      </c>
      <c r="B16" s="1">
        <v>44875</v>
      </c>
      <c r="C16" t="s">
        <v>9</v>
      </c>
      <c r="D16" s="2">
        <v>3.49</v>
      </c>
      <c r="E16" s="3">
        <v>573.07000000000005</v>
      </c>
      <c r="F16" t="s">
        <v>40</v>
      </c>
      <c r="G16" t="s">
        <v>43</v>
      </c>
      <c r="H16" t="s">
        <v>31</v>
      </c>
      <c r="I16" t="s">
        <v>16</v>
      </c>
      <c r="J16" s="2">
        <f t="shared" si="0"/>
        <v>2000.0143000000003</v>
      </c>
    </row>
    <row r="17" spans="1:10" x14ac:dyDescent="0.25">
      <c r="A17" s="3">
        <v>10468</v>
      </c>
      <c r="B17" s="1">
        <v>44875</v>
      </c>
      <c r="C17" t="s">
        <v>14</v>
      </c>
      <c r="D17" s="2">
        <v>2.95</v>
      </c>
      <c r="E17" s="3">
        <v>677.97</v>
      </c>
      <c r="F17" t="s">
        <v>40</v>
      </c>
      <c r="G17" t="s">
        <v>43</v>
      </c>
      <c r="H17" t="s">
        <v>31</v>
      </c>
      <c r="I17" t="s">
        <v>16</v>
      </c>
      <c r="J17" s="2">
        <f t="shared" si="0"/>
        <v>2000.0115000000003</v>
      </c>
    </row>
    <row r="18" spans="1:10" x14ac:dyDescent="0.25">
      <c r="A18" s="3">
        <v>10470</v>
      </c>
      <c r="B18" s="1">
        <v>44876</v>
      </c>
      <c r="C18" t="s">
        <v>21</v>
      </c>
      <c r="D18" s="2">
        <v>12.99</v>
      </c>
      <c r="E18" s="3">
        <v>554.27</v>
      </c>
      <c r="F18" t="s">
        <v>40</v>
      </c>
      <c r="G18" t="s">
        <v>43</v>
      </c>
      <c r="H18" t="s">
        <v>31</v>
      </c>
      <c r="I18" t="s">
        <v>16</v>
      </c>
      <c r="J18" s="2">
        <f t="shared" si="0"/>
        <v>7199.9673000000003</v>
      </c>
    </row>
    <row r="19" spans="1:10" x14ac:dyDescent="0.25">
      <c r="A19" s="3">
        <v>10471</v>
      </c>
      <c r="B19" s="1">
        <v>44876</v>
      </c>
      <c r="C19" t="s">
        <v>25</v>
      </c>
      <c r="D19" s="2">
        <v>9.9499999999999993</v>
      </c>
      <c r="E19" s="3">
        <v>201.01</v>
      </c>
      <c r="F19" t="s">
        <v>40</v>
      </c>
      <c r="G19" t="s">
        <v>43</v>
      </c>
      <c r="H19" t="s">
        <v>31</v>
      </c>
      <c r="I19" t="s">
        <v>16</v>
      </c>
      <c r="J19" s="2">
        <f t="shared" si="0"/>
        <v>2000.0494999999999</v>
      </c>
    </row>
    <row r="20" spans="1:10" x14ac:dyDescent="0.25">
      <c r="A20" s="3">
        <v>10472</v>
      </c>
      <c r="B20" s="1">
        <v>44876</v>
      </c>
      <c r="C20" t="s">
        <v>9</v>
      </c>
      <c r="D20" s="2">
        <v>3.49</v>
      </c>
      <c r="E20" s="3">
        <v>630.37</v>
      </c>
      <c r="F20" t="s">
        <v>40</v>
      </c>
      <c r="G20" t="s">
        <v>43</v>
      </c>
      <c r="H20" t="s">
        <v>31</v>
      </c>
      <c r="I20" t="s">
        <v>16</v>
      </c>
      <c r="J20" s="2">
        <f t="shared" si="0"/>
        <v>2199.9913000000001</v>
      </c>
    </row>
    <row r="21" spans="1:10" x14ac:dyDescent="0.25">
      <c r="A21" s="3">
        <v>10473</v>
      </c>
      <c r="B21" s="1">
        <v>44876</v>
      </c>
      <c r="C21" t="s">
        <v>14</v>
      </c>
      <c r="D21" s="2">
        <v>2.95</v>
      </c>
      <c r="E21" s="3">
        <v>677.97</v>
      </c>
      <c r="F21" t="s">
        <v>40</v>
      </c>
      <c r="G21" t="s">
        <v>43</v>
      </c>
      <c r="H21" t="s">
        <v>31</v>
      </c>
      <c r="I21" t="s">
        <v>16</v>
      </c>
      <c r="J21" s="2">
        <f t="shared" si="0"/>
        <v>2000.0115000000003</v>
      </c>
    </row>
    <row r="22" spans="1:10" x14ac:dyDescent="0.25">
      <c r="A22" s="3">
        <v>10474</v>
      </c>
      <c r="B22" s="1">
        <v>44876</v>
      </c>
      <c r="C22" t="s">
        <v>17</v>
      </c>
      <c r="D22" s="2">
        <v>4.99</v>
      </c>
      <c r="E22" s="3">
        <v>200.4</v>
      </c>
      <c r="F22" t="s">
        <v>40</v>
      </c>
      <c r="G22" t="s">
        <v>43</v>
      </c>
      <c r="H22" t="s">
        <v>31</v>
      </c>
      <c r="I22" t="s">
        <v>16</v>
      </c>
      <c r="J22" s="2">
        <f t="shared" si="0"/>
        <v>999.99600000000009</v>
      </c>
    </row>
    <row r="23" spans="1:10" x14ac:dyDescent="0.25">
      <c r="A23" s="3">
        <v>10475</v>
      </c>
      <c r="B23" s="1">
        <v>44877</v>
      </c>
      <c r="C23" t="s">
        <v>21</v>
      </c>
      <c r="D23" s="2">
        <v>12.99</v>
      </c>
      <c r="E23" s="3">
        <v>523.48</v>
      </c>
      <c r="F23" t="s">
        <v>40</v>
      </c>
      <c r="G23" t="s">
        <v>43</v>
      </c>
      <c r="H23" t="s">
        <v>31</v>
      </c>
      <c r="I23" t="s">
        <v>16</v>
      </c>
      <c r="J23" s="2">
        <f t="shared" si="0"/>
        <v>6800.0052000000005</v>
      </c>
    </row>
    <row r="24" spans="1:10" x14ac:dyDescent="0.25">
      <c r="A24" s="3">
        <v>10476</v>
      </c>
      <c r="B24" s="1">
        <v>44877</v>
      </c>
      <c r="C24" t="s">
        <v>25</v>
      </c>
      <c r="D24" s="2">
        <v>9.9499999999999993</v>
      </c>
      <c r="E24" s="3">
        <v>201.01</v>
      </c>
      <c r="F24" t="s">
        <v>40</v>
      </c>
      <c r="G24" t="s">
        <v>43</v>
      </c>
      <c r="H24" t="s">
        <v>31</v>
      </c>
      <c r="I24" t="s">
        <v>16</v>
      </c>
      <c r="J24" s="2">
        <f t="shared" si="0"/>
        <v>2000.0494999999999</v>
      </c>
    </row>
    <row r="25" spans="1:10" x14ac:dyDescent="0.25">
      <c r="A25" s="3">
        <v>10477</v>
      </c>
      <c r="B25" s="1">
        <v>44877</v>
      </c>
      <c r="C25" t="s">
        <v>9</v>
      </c>
      <c r="D25" s="2">
        <v>3.49</v>
      </c>
      <c r="E25" s="3">
        <v>630.37</v>
      </c>
      <c r="F25" t="s">
        <v>40</v>
      </c>
      <c r="G25" t="s">
        <v>43</v>
      </c>
      <c r="H25" t="s">
        <v>31</v>
      </c>
      <c r="I25" t="s">
        <v>16</v>
      </c>
      <c r="J25" s="2">
        <f t="shared" si="0"/>
        <v>2199.9913000000001</v>
      </c>
    </row>
    <row r="26" spans="1:10" x14ac:dyDescent="0.25">
      <c r="A26" s="3">
        <v>10478</v>
      </c>
      <c r="B26" s="1">
        <v>44877</v>
      </c>
      <c r="C26" t="s">
        <v>14</v>
      </c>
      <c r="D26" s="2">
        <v>2.95</v>
      </c>
      <c r="E26" s="3">
        <v>677.97</v>
      </c>
      <c r="F26" t="s">
        <v>40</v>
      </c>
      <c r="G26" t="s">
        <v>43</v>
      </c>
      <c r="H26" t="s">
        <v>31</v>
      </c>
      <c r="I26" t="s">
        <v>16</v>
      </c>
      <c r="J26" s="2">
        <f t="shared" si="0"/>
        <v>2000.0115000000003</v>
      </c>
    </row>
    <row r="27" spans="1:10" x14ac:dyDescent="0.25">
      <c r="A27" s="3">
        <v>10479</v>
      </c>
      <c r="B27" s="1">
        <v>44877</v>
      </c>
      <c r="C27" t="s">
        <v>17</v>
      </c>
      <c r="D27" s="2">
        <v>4.99</v>
      </c>
      <c r="E27" s="3">
        <v>200.4</v>
      </c>
      <c r="F27" t="s">
        <v>40</v>
      </c>
      <c r="G27" t="s">
        <v>43</v>
      </c>
      <c r="H27" t="s">
        <v>31</v>
      </c>
      <c r="I27" t="s">
        <v>16</v>
      </c>
      <c r="J27" s="2">
        <f t="shared" si="0"/>
        <v>999.99600000000009</v>
      </c>
    </row>
    <row r="28" spans="1:10" x14ac:dyDescent="0.25">
      <c r="A28" s="3">
        <v>10480</v>
      </c>
      <c r="B28" s="1">
        <v>44878</v>
      </c>
      <c r="C28" t="s">
        <v>21</v>
      </c>
      <c r="D28" s="2">
        <v>12.99</v>
      </c>
      <c r="E28" s="3">
        <v>508.08</v>
      </c>
      <c r="F28" t="s">
        <v>40</v>
      </c>
      <c r="G28" t="s">
        <v>43</v>
      </c>
      <c r="H28" t="s">
        <v>31</v>
      </c>
      <c r="I28" t="s">
        <v>16</v>
      </c>
      <c r="J28" s="2">
        <f t="shared" si="0"/>
        <v>6599.9592000000002</v>
      </c>
    </row>
    <row r="29" spans="1:10" x14ac:dyDescent="0.25">
      <c r="A29" s="3">
        <v>10481</v>
      </c>
      <c r="B29" s="1">
        <v>44878</v>
      </c>
      <c r="C29" t="s">
        <v>25</v>
      </c>
      <c r="D29" s="2">
        <v>9.9499999999999993</v>
      </c>
      <c r="E29" s="3">
        <v>201.01</v>
      </c>
      <c r="F29" t="s">
        <v>40</v>
      </c>
      <c r="G29" t="s">
        <v>43</v>
      </c>
      <c r="H29" t="s">
        <v>31</v>
      </c>
      <c r="I29" t="s">
        <v>16</v>
      </c>
      <c r="J29" s="2">
        <f t="shared" si="0"/>
        <v>2000.0494999999999</v>
      </c>
    </row>
    <row r="30" spans="1:10" x14ac:dyDescent="0.25">
      <c r="A30" s="3">
        <v>10482</v>
      </c>
      <c r="B30" s="1">
        <v>44878</v>
      </c>
      <c r="C30" t="s">
        <v>9</v>
      </c>
      <c r="D30" s="2">
        <v>25.5</v>
      </c>
      <c r="E30" s="3">
        <v>630.37</v>
      </c>
      <c r="F30" t="s">
        <v>40</v>
      </c>
      <c r="G30" t="s">
        <v>43</v>
      </c>
      <c r="H30" t="s">
        <v>35</v>
      </c>
      <c r="I30" t="s">
        <v>20</v>
      </c>
      <c r="J30" s="2">
        <f t="shared" si="0"/>
        <v>16074.434999999999</v>
      </c>
    </row>
    <row r="31" spans="1:10" x14ac:dyDescent="0.25">
      <c r="A31" s="3">
        <v>10486</v>
      </c>
      <c r="B31" s="1">
        <v>44879</v>
      </c>
      <c r="C31" t="s">
        <v>25</v>
      </c>
      <c r="D31" s="2">
        <v>29.05</v>
      </c>
      <c r="E31" s="3">
        <v>201.01</v>
      </c>
      <c r="F31" t="s">
        <v>40</v>
      </c>
      <c r="G31" t="s">
        <v>43</v>
      </c>
      <c r="H31" t="s">
        <v>35</v>
      </c>
      <c r="I31" t="s">
        <v>20</v>
      </c>
      <c r="J31" s="2">
        <f t="shared" si="0"/>
        <v>5839.3405000000002</v>
      </c>
    </row>
    <row r="32" spans="1:10" x14ac:dyDescent="0.25">
      <c r="A32" s="3">
        <v>10487</v>
      </c>
      <c r="B32" s="1">
        <v>44879</v>
      </c>
      <c r="C32" t="s">
        <v>9</v>
      </c>
      <c r="D32" s="2">
        <v>3.49</v>
      </c>
      <c r="E32" s="3">
        <v>630.37</v>
      </c>
      <c r="F32" t="s">
        <v>40</v>
      </c>
      <c r="G32" t="s">
        <v>43</v>
      </c>
      <c r="H32" t="s">
        <v>35</v>
      </c>
      <c r="I32" t="s">
        <v>20</v>
      </c>
      <c r="J32" s="2">
        <f t="shared" si="0"/>
        <v>2199.9913000000001</v>
      </c>
    </row>
    <row r="33" spans="1:10" x14ac:dyDescent="0.25">
      <c r="A33" s="3">
        <v>10488</v>
      </c>
      <c r="B33" s="1">
        <v>44879</v>
      </c>
      <c r="C33" t="s">
        <v>14</v>
      </c>
      <c r="D33" s="2">
        <v>2.95</v>
      </c>
      <c r="E33" s="3">
        <v>677.97</v>
      </c>
      <c r="F33" t="s">
        <v>40</v>
      </c>
      <c r="G33" t="s">
        <v>43</v>
      </c>
      <c r="H33" t="s">
        <v>35</v>
      </c>
      <c r="I33" t="s">
        <v>20</v>
      </c>
      <c r="J33" s="2">
        <f t="shared" si="0"/>
        <v>2000.0115000000003</v>
      </c>
    </row>
    <row r="34" spans="1:10" x14ac:dyDescent="0.25">
      <c r="A34" s="3">
        <v>10489</v>
      </c>
      <c r="B34" s="1">
        <v>44879</v>
      </c>
      <c r="C34" t="s">
        <v>17</v>
      </c>
      <c r="D34" s="2">
        <v>4.99</v>
      </c>
      <c r="E34" s="3">
        <v>200.4</v>
      </c>
      <c r="F34" t="s">
        <v>40</v>
      </c>
      <c r="G34" t="s">
        <v>43</v>
      </c>
      <c r="H34" t="s">
        <v>31</v>
      </c>
      <c r="I34" t="s">
        <v>16</v>
      </c>
      <c r="J34" s="2">
        <f t="shared" si="0"/>
        <v>999.99600000000009</v>
      </c>
    </row>
    <row r="35" spans="1:10" x14ac:dyDescent="0.25">
      <c r="A35" s="3">
        <v>10490</v>
      </c>
      <c r="B35" s="1">
        <v>44880</v>
      </c>
      <c r="C35" t="s">
        <v>21</v>
      </c>
      <c r="D35" s="2">
        <v>12.99</v>
      </c>
      <c r="E35" s="3">
        <v>508.08</v>
      </c>
      <c r="F35" t="s">
        <v>40</v>
      </c>
      <c r="G35" t="s">
        <v>43</v>
      </c>
      <c r="H35" t="s">
        <v>31</v>
      </c>
      <c r="I35" t="s">
        <v>16</v>
      </c>
      <c r="J35" s="2">
        <f t="shared" si="0"/>
        <v>6599.9592000000002</v>
      </c>
    </row>
    <row r="36" spans="1:10" x14ac:dyDescent="0.25">
      <c r="A36" s="3">
        <v>10491</v>
      </c>
      <c r="B36" s="1">
        <v>44880</v>
      </c>
      <c r="C36" t="s">
        <v>25</v>
      </c>
      <c r="D36" s="2">
        <v>9.9499999999999993</v>
      </c>
      <c r="E36" s="3">
        <v>201.01</v>
      </c>
      <c r="F36" t="s">
        <v>40</v>
      </c>
      <c r="G36" t="s">
        <v>43</v>
      </c>
      <c r="H36" t="s">
        <v>31</v>
      </c>
      <c r="I36" t="s">
        <v>16</v>
      </c>
      <c r="J36" s="2">
        <f t="shared" si="0"/>
        <v>2000.0494999999999</v>
      </c>
    </row>
    <row r="37" spans="1:10" x14ac:dyDescent="0.25">
      <c r="A37" s="3">
        <v>10492</v>
      </c>
      <c r="B37" s="1">
        <v>44880</v>
      </c>
      <c r="C37" t="s">
        <v>9</v>
      </c>
      <c r="D37" s="2">
        <v>3.49</v>
      </c>
      <c r="E37" s="3">
        <v>573.07000000000005</v>
      </c>
      <c r="F37" t="s">
        <v>40</v>
      </c>
      <c r="G37" t="s">
        <v>43</v>
      </c>
      <c r="H37" t="s">
        <v>31</v>
      </c>
      <c r="I37" t="s">
        <v>16</v>
      </c>
      <c r="J37" s="2">
        <f t="shared" si="0"/>
        <v>2000.0143000000003</v>
      </c>
    </row>
    <row r="38" spans="1:10" x14ac:dyDescent="0.25">
      <c r="A38" s="3">
        <v>10493</v>
      </c>
      <c r="B38" s="1">
        <v>44880</v>
      </c>
      <c r="C38" t="s">
        <v>14</v>
      </c>
      <c r="D38" s="2">
        <v>2.95</v>
      </c>
      <c r="E38" s="3">
        <v>677.97</v>
      </c>
      <c r="F38" t="s">
        <v>40</v>
      </c>
      <c r="G38" t="s">
        <v>43</v>
      </c>
      <c r="H38" t="s">
        <v>31</v>
      </c>
      <c r="I38" t="s">
        <v>16</v>
      </c>
      <c r="J38" s="2">
        <f t="shared" si="0"/>
        <v>2000.0115000000003</v>
      </c>
    </row>
    <row r="39" spans="1:10" x14ac:dyDescent="0.25">
      <c r="A39" s="3">
        <v>10494</v>
      </c>
      <c r="B39" s="1">
        <v>44880</v>
      </c>
      <c r="C39" t="s">
        <v>17</v>
      </c>
      <c r="D39" s="2">
        <v>4.99</v>
      </c>
      <c r="E39" s="3">
        <v>200.4</v>
      </c>
      <c r="F39" t="s">
        <v>40</v>
      </c>
      <c r="G39" t="s">
        <v>43</v>
      </c>
      <c r="H39" t="s">
        <v>31</v>
      </c>
      <c r="I39" t="s">
        <v>16</v>
      </c>
      <c r="J39" s="2">
        <f t="shared" si="0"/>
        <v>999.99600000000009</v>
      </c>
    </row>
    <row r="40" spans="1:10" x14ac:dyDescent="0.25">
      <c r="A40" s="3">
        <v>10495</v>
      </c>
      <c r="B40" s="1">
        <v>44881</v>
      </c>
      <c r="C40" t="s">
        <v>21</v>
      </c>
      <c r="D40" s="2">
        <v>12.99</v>
      </c>
      <c r="E40" s="3">
        <v>508.08</v>
      </c>
      <c r="F40" t="s">
        <v>40</v>
      </c>
      <c r="G40" t="s">
        <v>43</v>
      </c>
      <c r="H40" t="s">
        <v>31</v>
      </c>
      <c r="I40" t="s">
        <v>16</v>
      </c>
      <c r="J40" s="2">
        <f t="shared" si="0"/>
        <v>6599.9592000000002</v>
      </c>
    </row>
    <row r="41" spans="1:10" x14ac:dyDescent="0.25">
      <c r="A41" s="3">
        <v>10496</v>
      </c>
      <c r="B41" s="1">
        <v>44881</v>
      </c>
      <c r="C41" t="s">
        <v>25</v>
      </c>
      <c r="D41" s="2">
        <v>9.9499999999999993</v>
      </c>
      <c r="E41" s="3">
        <v>201.01</v>
      </c>
      <c r="F41" t="s">
        <v>40</v>
      </c>
      <c r="G41" t="s">
        <v>43</v>
      </c>
      <c r="H41" t="s">
        <v>31</v>
      </c>
      <c r="I41" t="s">
        <v>16</v>
      </c>
      <c r="J41" s="2">
        <f t="shared" si="0"/>
        <v>2000.0494999999999</v>
      </c>
    </row>
    <row r="42" spans="1:10" x14ac:dyDescent="0.25">
      <c r="A42" s="3">
        <v>10497</v>
      </c>
      <c r="B42" s="1">
        <v>44881</v>
      </c>
      <c r="C42" t="s">
        <v>9</v>
      </c>
      <c r="D42" s="2">
        <v>3.49</v>
      </c>
      <c r="E42" s="3">
        <v>573.07000000000005</v>
      </c>
      <c r="F42" t="s">
        <v>40</v>
      </c>
      <c r="G42" t="s">
        <v>43</v>
      </c>
      <c r="H42" t="s">
        <v>31</v>
      </c>
      <c r="I42" t="s">
        <v>16</v>
      </c>
      <c r="J42" s="2">
        <f t="shared" si="0"/>
        <v>2000.0143000000003</v>
      </c>
    </row>
    <row r="43" spans="1:10" x14ac:dyDescent="0.25">
      <c r="A43" s="3">
        <v>10498</v>
      </c>
      <c r="B43" s="1">
        <v>44881</v>
      </c>
      <c r="C43" t="s">
        <v>14</v>
      </c>
      <c r="D43" s="2">
        <v>2.95</v>
      </c>
      <c r="E43" s="3">
        <v>677.97</v>
      </c>
      <c r="F43" t="s">
        <v>41</v>
      </c>
      <c r="G43" t="s">
        <v>43</v>
      </c>
      <c r="H43" t="s">
        <v>31</v>
      </c>
      <c r="I43" t="s">
        <v>16</v>
      </c>
      <c r="J43" s="2">
        <f t="shared" si="0"/>
        <v>2000.0115000000003</v>
      </c>
    </row>
    <row r="44" spans="1:10" x14ac:dyDescent="0.25">
      <c r="A44" s="3">
        <v>10499</v>
      </c>
      <c r="B44" s="1">
        <v>44881</v>
      </c>
      <c r="C44" t="s">
        <v>17</v>
      </c>
      <c r="D44" s="2">
        <v>4.99</v>
      </c>
      <c r="E44" s="3">
        <v>200.4</v>
      </c>
      <c r="F44" t="s">
        <v>41</v>
      </c>
      <c r="G44" t="s">
        <v>43</v>
      </c>
      <c r="H44" t="s">
        <v>31</v>
      </c>
      <c r="I44" t="s">
        <v>16</v>
      </c>
      <c r="J44" s="2">
        <f t="shared" si="0"/>
        <v>999.99600000000009</v>
      </c>
    </row>
    <row r="45" spans="1:10" x14ac:dyDescent="0.25">
      <c r="A45" s="3">
        <v>10500</v>
      </c>
      <c r="B45" s="1">
        <v>44882</v>
      </c>
      <c r="C45" t="s">
        <v>21</v>
      </c>
      <c r="D45" s="2">
        <v>12.99</v>
      </c>
      <c r="E45" s="3">
        <v>523.48</v>
      </c>
      <c r="F45" t="s">
        <v>41</v>
      </c>
      <c r="G45" t="s">
        <v>43</v>
      </c>
      <c r="H45" t="s">
        <v>31</v>
      </c>
      <c r="I45" t="s">
        <v>16</v>
      </c>
      <c r="J45" s="2">
        <f t="shared" si="0"/>
        <v>6800.0052000000005</v>
      </c>
    </row>
    <row r="46" spans="1:10" x14ac:dyDescent="0.25">
      <c r="A46" s="3">
        <v>10501</v>
      </c>
      <c r="B46" s="1">
        <v>44882</v>
      </c>
      <c r="C46" t="s">
        <v>25</v>
      </c>
      <c r="D46" s="2">
        <v>9.9499999999999993</v>
      </c>
      <c r="E46" s="3">
        <v>201.01</v>
      </c>
      <c r="F46" t="s">
        <v>41</v>
      </c>
      <c r="G46" t="s">
        <v>43</v>
      </c>
      <c r="H46" t="s">
        <v>31</v>
      </c>
      <c r="I46" t="s">
        <v>16</v>
      </c>
      <c r="J46" s="2">
        <f t="shared" si="0"/>
        <v>2000.0494999999999</v>
      </c>
    </row>
    <row r="47" spans="1:10" x14ac:dyDescent="0.25">
      <c r="A47" s="3">
        <v>10502</v>
      </c>
      <c r="B47" s="1">
        <v>44882</v>
      </c>
      <c r="C47" t="s">
        <v>9</v>
      </c>
      <c r="D47" s="2">
        <v>3.49</v>
      </c>
      <c r="E47" s="3">
        <v>630.37</v>
      </c>
      <c r="F47" t="s">
        <v>41</v>
      </c>
      <c r="G47" t="s">
        <v>43</v>
      </c>
      <c r="H47" t="s">
        <v>31</v>
      </c>
      <c r="I47" t="s">
        <v>16</v>
      </c>
      <c r="J47" s="2">
        <f t="shared" si="0"/>
        <v>2199.9913000000001</v>
      </c>
    </row>
    <row r="48" spans="1:10" x14ac:dyDescent="0.25">
      <c r="A48" s="3">
        <v>10503</v>
      </c>
      <c r="B48" s="1">
        <v>44882</v>
      </c>
      <c r="C48" t="s">
        <v>14</v>
      </c>
      <c r="D48" s="2">
        <v>2.95</v>
      </c>
      <c r="E48" s="3">
        <v>677.97</v>
      </c>
      <c r="F48" t="s">
        <v>41</v>
      </c>
      <c r="G48" t="s">
        <v>43</v>
      </c>
      <c r="H48" t="s">
        <v>31</v>
      </c>
      <c r="I48" t="s">
        <v>16</v>
      </c>
      <c r="J48" s="2">
        <f t="shared" si="0"/>
        <v>2000.0115000000003</v>
      </c>
    </row>
    <row r="49" spans="1:10" x14ac:dyDescent="0.25">
      <c r="A49" s="3">
        <v>10504</v>
      </c>
      <c r="B49" s="1">
        <v>44882</v>
      </c>
      <c r="C49" t="s">
        <v>17</v>
      </c>
      <c r="D49" s="2">
        <v>4.99</v>
      </c>
      <c r="E49" s="3">
        <v>200.4</v>
      </c>
      <c r="F49" t="s">
        <v>41</v>
      </c>
      <c r="G49" t="s">
        <v>43</v>
      </c>
      <c r="H49" t="s">
        <v>31</v>
      </c>
      <c r="I49" t="s">
        <v>16</v>
      </c>
      <c r="J49" s="2">
        <f t="shared" si="0"/>
        <v>999.99600000000009</v>
      </c>
    </row>
    <row r="50" spans="1:10" x14ac:dyDescent="0.25">
      <c r="A50" s="3">
        <v>10505</v>
      </c>
      <c r="B50" s="1">
        <v>44883</v>
      </c>
      <c r="C50" t="s">
        <v>21</v>
      </c>
      <c r="D50" s="2">
        <v>12.99</v>
      </c>
      <c r="E50" s="3">
        <v>538.88</v>
      </c>
      <c r="F50" t="s">
        <v>41</v>
      </c>
      <c r="G50" t="s">
        <v>43</v>
      </c>
      <c r="H50" t="s">
        <v>31</v>
      </c>
      <c r="I50" t="s">
        <v>16</v>
      </c>
      <c r="J50" s="2">
        <f t="shared" si="0"/>
        <v>7000.0511999999999</v>
      </c>
    </row>
    <row r="51" spans="1:10" x14ac:dyDescent="0.25">
      <c r="A51" s="3">
        <v>10506</v>
      </c>
      <c r="B51" s="1">
        <v>44883</v>
      </c>
      <c r="C51" t="s">
        <v>25</v>
      </c>
      <c r="D51" s="2">
        <v>9.9499999999999993</v>
      </c>
      <c r="E51" s="3">
        <v>201.01</v>
      </c>
      <c r="F51" t="s">
        <v>41</v>
      </c>
      <c r="G51" t="s">
        <v>43</v>
      </c>
      <c r="H51" t="s">
        <v>31</v>
      </c>
      <c r="I51" t="s">
        <v>16</v>
      </c>
      <c r="J51" s="2">
        <f t="shared" si="0"/>
        <v>2000.0494999999999</v>
      </c>
    </row>
    <row r="52" spans="1:10" x14ac:dyDescent="0.25">
      <c r="A52" s="3">
        <v>10507</v>
      </c>
      <c r="B52" s="1">
        <v>44883</v>
      </c>
      <c r="C52" t="s">
        <v>9</v>
      </c>
      <c r="D52" s="2">
        <v>3.49</v>
      </c>
      <c r="E52" s="3">
        <v>687.68</v>
      </c>
      <c r="F52" t="s">
        <v>41</v>
      </c>
      <c r="G52" t="s">
        <v>43</v>
      </c>
      <c r="H52" t="s">
        <v>31</v>
      </c>
      <c r="I52" t="s">
        <v>16</v>
      </c>
      <c r="J52" s="2">
        <f t="shared" si="0"/>
        <v>2400.0032000000001</v>
      </c>
    </row>
    <row r="53" spans="1:10" x14ac:dyDescent="0.25">
      <c r="A53" s="3">
        <v>10508</v>
      </c>
      <c r="B53" s="1">
        <v>44883</v>
      </c>
      <c r="C53" t="s">
        <v>14</v>
      </c>
      <c r="D53" s="2">
        <v>2.95</v>
      </c>
      <c r="E53" s="3">
        <v>677.97</v>
      </c>
      <c r="F53" t="s">
        <v>41</v>
      </c>
      <c r="G53" t="s">
        <v>43</v>
      </c>
      <c r="H53" t="s">
        <v>31</v>
      </c>
      <c r="I53" t="s">
        <v>16</v>
      </c>
      <c r="J53" s="2">
        <f t="shared" si="0"/>
        <v>2000.0115000000003</v>
      </c>
    </row>
    <row r="54" spans="1:10" x14ac:dyDescent="0.25">
      <c r="A54" s="3">
        <v>10509</v>
      </c>
      <c r="B54" s="1">
        <v>44883</v>
      </c>
      <c r="C54" t="s">
        <v>17</v>
      </c>
      <c r="D54" s="2">
        <v>4.99</v>
      </c>
      <c r="E54" s="3">
        <v>200.4</v>
      </c>
      <c r="F54" t="s">
        <v>41</v>
      </c>
      <c r="G54" t="s">
        <v>43</v>
      </c>
      <c r="H54" t="s">
        <v>31</v>
      </c>
      <c r="I54" t="s">
        <v>16</v>
      </c>
      <c r="J54" s="2">
        <f t="shared" si="0"/>
        <v>999.99600000000009</v>
      </c>
    </row>
    <row r="55" spans="1:10" x14ac:dyDescent="0.25">
      <c r="A55" s="3">
        <v>10510</v>
      </c>
      <c r="B55" s="1">
        <v>44884</v>
      </c>
      <c r="C55" t="s">
        <v>21</v>
      </c>
      <c r="D55" s="2">
        <v>12.99</v>
      </c>
      <c r="E55" s="3">
        <v>508.08</v>
      </c>
      <c r="F55" t="s">
        <v>41</v>
      </c>
      <c r="G55" t="s">
        <v>43</v>
      </c>
      <c r="H55" t="s">
        <v>31</v>
      </c>
      <c r="I55" t="s">
        <v>16</v>
      </c>
      <c r="J55" s="2">
        <f t="shared" si="0"/>
        <v>6599.9592000000002</v>
      </c>
    </row>
    <row r="56" spans="1:10" x14ac:dyDescent="0.25">
      <c r="A56" s="3">
        <v>10511</v>
      </c>
      <c r="B56" s="1">
        <v>44884</v>
      </c>
      <c r="C56" t="s">
        <v>25</v>
      </c>
      <c r="D56" s="2">
        <v>9.9499999999999993</v>
      </c>
      <c r="E56" s="3">
        <v>201.01</v>
      </c>
      <c r="F56" t="s">
        <v>41</v>
      </c>
      <c r="G56" t="s">
        <v>43</v>
      </c>
      <c r="H56" t="s">
        <v>35</v>
      </c>
      <c r="I56" t="s">
        <v>20</v>
      </c>
      <c r="J56" s="2">
        <f t="shared" si="0"/>
        <v>2000.0494999999999</v>
      </c>
    </row>
    <row r="57" spans="1:10" x14ac:dyDescent="0.25">
      <c r="A57" s="3">
        <v>10512</v>
      </c>
      <c r="B57" s="1">
        <v>44884</v>
      </c>
      <c r="C57" t="s">
        <v>9</v>
      </c>
      <c r="D57" s="2">
        <v>3.49</v>
      </c>
      <c r="E57" s="3">
        <v>687.68</v>
      </c>
      <c r="F57" t="s">
        <v>41</v>
      </c>
      <c r="G57" t="s">
        <v>43</v>
      </c>
      <c r="H57" t="s">
        <v>35</v>
      </c>
      <c r="I57" t="s">
        <v>20</v>
      </c>
      <c r="J57" s="2">
        <f t="shared" si="0"/>
        <v>2400.0032000000001</v>
      </c>
    </row>
    <row r="58" spans="1:10" x14ac:dyDescent="0.25">
      <c r="A58" s="3">
        <v>10513</v>
      </c>
      <c r="B58" s="1">
        <v>44884</v>
      </c>
      <c r="C58" t="s">
        <v>14</v>
      </c>
      <c r="D58" s="2">
        <v>2.95</v>
      </c>
      <c r="E58" s="3">
        <v>677.97</v>
      </c>
      <c r="F58" t="s">
        <v>41</v>
      </c>
      <c r="G58" t="s">
        <v>44</v>
      </c>
      <c r="H58" t="s">
        <v>35</v>
      </c>
      <c r="I58" t="s">
        <v>20</v>
      </c>
      <c r="J58" s="2">
        <f t="shared" si="0"/>
        <v>2000.0115000000003</v>
      </c>
    </row>
    <row r="59" spans="1:10" x14ac:dyDescent="0.25">
      <c r="A59" s="3">
        <v>10514</v>
      </c>
      <c r="B59" s="1">
        <v>44884</v>
      </c>
      <c r="C59" t="s">
        <v>17</v>
      </c>
      <c r="D59" s="2">
        <v>4.99</v>
      </c>
      <c r="E59" s="3">
        <v>200.4</v>
      </c>
      <c r="F59" t="s">
        <v>41</v>
      </c>
      <c r="G59" t="s">
        <v>44</v>
      </c>
      <c r="H59" t="s">
        <v>35</v>
      </c>
      <c r="I59" t="s">
        <v>20</v>
      </c>
      <c r="J59" s="2">
        <f t="shared" si="0"/>
        <v>999.99600000000009</v>
      </c>
    </row>
    <row r="60" spans="1:10" x14ac:dyDescent="0.25">
      <c r="A60" s="3">
        <v>10515</v>
      </c>
      <c r="B60" s="1">
        <v>44885</v>
      </c>
      <c r="C60" t="s">
        <v>21</v>
      </c>
      <c r="D60" s="2">
        <v>12.99</v>
      </c>
      <c r="E60" s="3">
        <v>477.29</v>
      </c>
      <c r="F60" t="s">
        <v>41</v>
      </c>
      <c r="G60" t="s">
        <v>44</v>
      </c>
      <c r="H60" t="s">
        <v>35</v>
      </c>
      <c r="I60" t="s">
        <v>20</v>
      </c>
      <c r="J60" s="2">
        <f t="shared" si="0"/>
        <v>6199.9971000000005</v>
      </c>
    </row>
    <row r="61" spans="1:10" x14ac:dyDescent="0.25">
      <c r="A61" s="3">
        <v>10516</v>
      </c>
      <c r="B61" s="1">
        <v>44885</v>
      </c>
      <c r="C61" t="s">
        <v>25</v>
      </c>
      <c r="D61" s="2">
        <v>9.9499999999999993</v>
      </c>
      <c r="E61" s="3">
        <v>201.01</v>
      </c>
      <c r="F61" t="s">
        <v>41</v>
      </c>
      <c r="G61" t="s">
        <v>44</v>
      </c>
      <c r="H61" t="s">
        <v>35</v>
      </c>
      <c r="I61" t="s">
        <v>20</v>
      </c>
      <c r="J61" s="2">
        <f t="shared" si="0"/>
        <v>2000.0494999999999</v>
      </c>
    </row>
    <row r="62" spans="1:10" x14ac:dyDescent="0.25">
      <c r="A62" s="3">
        <v>10483</v>
      </c>
      <c r="B62" s="1">
        <v>44878</v>
      </c>
      <c r="C62" t="s">
        <v>14</v>
      </c>
      <c r="D62" s="2">
        <v>2.95</v>
      </c>
      <c r="E62" s="3">
        <v>677.97</v>
      </c>
      <c r="F62" t="s">
        <v>40</v>
      </c>
      <c r="G62" t="s">
        <v>43</v>
      </c>
      <c r="H62" t="s">
        <v>35</v>
      </c>
      <c r="I62" t="s">
        <v>20</v>
      </c>
      <c r="J62" s="2">
        <f t="shared" si="0"/>
        <v>2000.0115000000003</v>
      </c>
    </row>
    <row r="63" spans="1:10" x14ac:dyDescent="0.25">
      <c r="A63" s="3">
        <v>10484</v>
      </c>
      <c r="B63" s="1">
        <v>44878</v>
      </c>
      <c r="C63" t="s">
        <v>17</v>
      </c>
      <c r="D63" s="2">
        <v>4.99</v>
      </c>
      <c r="E63" s="3">
        <v>200.4</v>
      </c>
      <c r="F63" t="s">
        <v>40</v>
      </c>
      <c r="G63" t="s">
        <v>43</v>
      </c>
      <c r="H63" t="s">
        <v>35</v>
      </c>
      <c r="I63" t="s">
        <v>20</v>
      </c>
      <c r="J63" s="2">
        <f t="shared" si="0"/>
        <v>999.99600000000009</v>
      </c>
    </row>
    <row r="64" spans="1:10" x14ac:dyDescent="0.25">
      <c r="A64" s="3">
        <v>10485</v>
      </c>
      <c r="B64" s="1">
        <v>44879</v>
      </c>
      <c r="C64" t="s">
        <v>21</v>
      </c>
      <c r="D64" s="2">
        <v>12.99</v>
      </c>
      <c r="E64" s="3">
        <v>523.48</v>
      </c>
      <c r="F64" t="s">
        <v>40</v>
      </c>
      <c r="G64" t="s">
        <v>43</v>
      </c>
      <c r="H64" t="s">
        <v>35</v>
      </c>
      <c r="I64" t="s">
        <v>20</v>
      </c>
      <c r="J64" s="2">
        <f t="shared" si="0"/>
        <v>6800.0052000000005</v>
      </c>
    </row>
    <row r="65" spans="1:10" x14ac:dyDescent="0.25">
      <c r="A65" s="3">
        <v>10520</v>
      </c>
      <c r="B65" s="1">
        <v>44886</v>
      </c>
      <c r="C65" t="s">
        <v>21</v>
      </c>
      <c r="D65" s="2">
        <v>12.99</v>
      </c>
      <c r="E65" s="3">
        <v>492.69</v>
      </c>
      <c r="F65" t="s">
        <v>41</v>
      </c>
      <c r="G65" t="s">
        <v>44</v>
      </c>
      <c r="H65" t="s">
        <v>28</v>
      </c>
      <c r="I65" t="s">
        <v>27</v>
      </c>
      <c r="J65" s="2">
        <f t="shared" si="0"/>
        <v>6400.0430999999999</v>
      </c>
    </row>
    <row r="66" spans="1:10" x14ac:dyDescent="0.25">
      <c r="A66" s="3">
        <v>10521</v>
      </c>
      <c r="B66" s="1">
        <v>44886</v>
      </c>
      <c r="C66" t="s">
        <v>25</v>
      </c>
      <c r="D66" s="2">
        <v>9.9499999999999993</v>
      </c>
      <c r="E66" s="3">
        <v>201.01</v>
      </c>
      <c r="F66" t="s">
        <v>41</v>
      </c>
      <c r="G66" t="s">
        <v>44</v>
      </c>
      <c r="H66" t="s">
        <v>28</v>
      </c>
      <c r="I66" t="s">
        <v>27</v>
      </c>
      <c r="J66" s="2">
        <f t="shared" si="0"/>
        <v>2000.0494999999999</v>
      </c>
    </row>
    <row r="67" spans="1:10" x14ac:dyDescent="0.25">
      <c r="A67" s="3">
        <v>10522</v>
      </c>
      <c r="B67" s="1">
        <v>44886</v>
      </c>
      <c r="C67" t="s">
        <v>9</v>
      </c>
      <c r="D67" s="2">
        <v>3.49</v>
      </c>
      <c r="E67" s="3">
        <v>687.68</v>
      </c>
      <c r="F67" t="s">
        <v>41</v>
      </c>
      <c r="G67" t="s">
        <v>44</v>
      </c>
      <c r="H67" t="s">
        <v>28</v>
      </c>
      <c r="I67" t="s">
        <v>27</v>
      </c>
      <c r="J67" s="2">
        <f t="shared" ref="J67:J130" si="1">E67*D67</f>
        <v>2400.0032000000001</v>
      </c>
    </row>
    <row r="68" spans="1:10" x14ac:dyDescent="0.25">
      <c r="A68" s="3">
        <v>10523</v>
      </c>
      <c r="B68" s="1">
        <v>44886</v>
      </c>
      <c r="C68" t="s">
        <v>14</v>
      </c>
      <c r="D68" s="2">
        <v>2.95</v>
      </c>
      <c r="E68" s="3">
        <v>745.76</v>
      </c>
      <c r="F68" t="s">
        <v>41</v>
      </c>
      <c r="G68" t="s">
        <v>44</v>
      </c>
      <c r="H68" t="s">
        <v>28</v>
      </c>
      <c r="I68" t="s">
        <v>27</v>
      </c>
      <c r="J68" s="2">
        <f t="shared" si="1"/>
        <v>2199.9920000000002</v>
      </c>
    </row>
    <row r="69" spans="1:10" x14ac:dyDescent="0.25">
      <c r="A69" s="3">
        <v>10524</v>
      </c>
      <c r="B69" s="1">
        <v>44886</v>
      </c>
      <c r="C69" t="s">
        <v>17</v>
      </c>
      <c r="D69" s="2">
        <v>4.99</v>
      </c>
      <c r="E69" s="3">
        <v>200.4</v>
      </c>
      <c r="F69" t="s">
        <v>41</v>
      </c>
      <c r="G69" t="s">
        <v>44</v>
      </c>
      <c r="H69" t="s">
        <v>28</v>
      </c>
      <c r="I69" t="s">
        <v>27</v>
      </c>
      <c r="J69" s="2">
        <f t="shared" si="1"/>
        <v>999.99600000000009</v>
      </c>
    </row>
    <row r="70" spans="1:10" x14ac:dyDescent="0.25">
      <c r="A70" s="3">
        <v>10525</v>
      </c>
      <c r="B70" s="1">
        <v>44887</v>
      </c>
      <c r="C70" t="s">
        <v>21</v>
      </c>
      <c r="D70" s="2">
        <v>12.99</v>
      </c>
      <c r="E70" s="3">
        <v>461.89</v>
      </c>
      <c r="F70" t="s">
        <v>41</v>
      </c>
      <c r="G70" t="s">
        <v>44</v>
      </c>
      <c r="H70" t="s">
        <v>28</v>
      </c>
      <c r="I70" t="s">
        <v>27</v>
      </c>
      <c r="J70" s="2">
        <f t="shared" si="1"/>
        <v>5999.9511000000002</v>
      </c>
    </row>
    <row r="71" spans="1:10" x14ac:dyDescent="0.25">
      <c r="A71" s="3">
        <v>10526</v>
      </c>
      <c r="B71" s="1">
        <v>44887</v>
      </c>
      <c r="C71" t="s">
        <v>25</v>
      </c>
      <c r="D71" s="2">
        <v>9.9499999999999993</v>
      </c>
      <c r="E71" s="3">
        <v>201.01</v>
      </c>
      <c r="F71" t="s">
        <v>41</v>
      </c>
      <c r="G71" t="s">
        <v>44</v>
      </c>
      <c r="H71" t="s">
        <v>28</v>
      </c>
      <c r="I71" t="s">
        <v>27</v>
      </c>
      <c r="J71" s="2">
        <f t="shared" si="1"/>
        <v>2000.0494999999999</v>
      </c>
    </row>
    <row r="72" spans="1:10" x14ac:dyDescent="0.25">
      <c r="A72" s="3">
        <v>10527</v>
      </c>
      <c r="B72" s="1">
        <v>44887</v>
      </c>
      <c r="C72" t="s">
        <v>9</v>
      </c>
      <c r="D72" s="2">
        <v>3.49</v>
      </c>
      <c r="E72" s="3">
        <v>687.68</v>
      </c>
      <c r="F72" t="s">
        <v>41</v>
      </c>
      <c r="G72" t="s">
        <v>44</v>
      </c>
      <c r="H72" t="s">
        <v>28</v>
      </c>
      <c r="I72" t="s">
        <v>27</v>
      </c>
      <c r="J72" s="2">
        <f t="shared" si="1"/>
        <v>2400.0032000000001</v>
      </c>
    </row>
    <row r="73" spans="1:10" x14ac:dyDescent="0.25">
      <c r="A73" s="3">
        <v>10528</v>
      </c>
      <c r="B73" s="1">
        <v>44887</v>
      </c>
      <c r="C73" t="s">
        <v>14</v>
      </c>
      <c r="D73" s="2">
        <v>2.95</v>
      </c>
      <c r="E73" s="3">
        <v>745.76</v>
      </c>
      <c r="F73" t="s">
        <v>41</v>
      </c>
      <c r="G73" t="s">
        <v>44</v>
      </c>
      <c r="H73" t="s">
        <v>28</v>
      </c>
      <c r="I73" t="s">
        <v>27</v>
      </c>
      <c r="J73" s="2">
        <f t="shared" si="1"/>
        <v>2199.9920000000002</v>
      </c>
    </row>
    <row r="74" spans="1:10" x14ac:dyDescent="0.25">
      <c r="A74" s="3">
        <v>10529</v>
      </c>
      <c r="B74" s="1">
        <v>44887</v>
      </c>
      <c r="C74" t="s">
        <v>17</v>
      </c>
      <c r="D74" s="2">
        <v>4.99</v>
      </c>
      <c r="E74" s="3">
        <v>200.4</v>
      </c>
      <c r="F74" t="s">
        <v>41</v>
      </c>
      <c r="G74" t="s">
        <v>44</v>
      </c>
      <c r="H74" t="s">
        <v>28</v>
      </c>
      <c r="I74" t="s">
        <v>27</v>
      </c>
      <c r="J74" s="2">
        <f t="shared" si="1"/>
        <v>999.99600000000009</v>
      </c>
    </row>
    <row r="75" spans="1:10" x14ac:dyDescent="0.25">
      <c r="A75" s="3">
        <v>10530</v>
      </c>
      <c r="B75" s="1">
        <v>44888</v>
      </c>
      <c r="C75" t="s">
        <v>21</v>
      </c>
      <c r="D75" s="2">
        <v>12.99</v>
      </c>
      <c r="E75" s="3">
        <v>477.29</v>
      </c>
      <c r="F75" t="s">
        <v>41</v>
      </c>
      <c r="G75" t="s">
        <v>44</v>
      </c>
      <c r="H75" t="s">
        <v>28</v>
      </c>
      <c r="I75" t="s">
        <v>27</v>
      </c>
      <c r="J75" s="2">
        <f t="shared" si="1"/>
        <v>6199.9971000000005</v>
      </c>
    </row>
    <row r="76" spans="1:10" x14ac:dyDescent="0.25">
      <c r="A76" s="3">
        <v>10531</v>
      </c>
      <c r="B76" s="1">
        <v>44888</v>
      </c>
      <c r="C76" t="s">
        <v>25</v>
      </c>
      <c r="D76" s="2">
        <v>9.9499999999999993</v>
      </c>
      <c r="E76" s="3">
        <v>201.01</v>
      </c>
      <c r="F76" t="s">
        <v>41</v>
      </c>
      <c r="G76" t="s">
        <v>44</v>
      </c>
      <c r="H76" t="s">
        <v>28</v>
      </c>
      <c r="I76" t="s">
        <v>27</v>
      </c>
      <c r="J76" s="2">
        <f t="shared" si="1"/>
        <v>2000.0494999999999</v>
      </c>
    </row>
    <row r="77" spans="1:10" x14ac:dyDescent="0.25">
      <c r="A77" s="3">
        <v>10532</v>
      </c>
      <c r="B77" s="1">
        <v>44888</v>
      </c>
      <c r="C77" t="s">
        <v>9</v>
      </c>
      <c r="D77" s="2">
        <v>3.49</v>
      </c>
      <c r="E77" s="3">
        <v>687.68</v>
      </c>
      <c r="F77" t="s">
        <v>41</v>
      </c>
      <c r="G77" t="s">
        <v>44</v>
      </c>
      <c r="H77" t="s">
        <v>35</v>
      </c>
      <c r="I77" t="s">
        <v>20</v>
      </c>
      <c r="J77" s="2">
        <f t="shared" si="1"/>
        <v>2400.0032000000001</v>
      </c>
    </row>
    <row r="78" spans="1:10" x14ac:dyDescent="0.25">
      <c r="A78" s="3">
        <v>10533</v>
      </c>
      <c r="B78" s="1">
        <v>44888</v>
      </c>
      <c r="C78" t="s">
        <v>14</v>
      </c>
      <c r="D78" s="2">
        <v>2.95</v>
      </c>
      <c r="E78" s="3">
        <v>745.76</v>
      </c>
      <c r="F78" t="s">
        <v>41</v>
      </c>
      <c r="G78" t="s">
        <v>44</v>
      </c>
      <c r="H78" t="s">
        <v>35</v>
      </c>
      <c r="I78" t="s">
        <v>20</v>
      </c>
      <c r="J78" s="2">
        <f t="shared" si="1"/>
        <v>2199.9920000000002</v>
      </c>
    </row>
    <row r="79" spans="1:10" x14ac:dyDescent="0.25">
      <c r="A79" s="3">
        <v>10534</v>
      </c>
      <c r="B79" s="1">
        <v>44888</v>
      </c>
      <c r="C79" t="s">
        <v>17</v>
      </c>
      <c r="D79" s="2">
        <v>4.99</v>
      </c>
      <c r="E79" s="3">
        <v>200.4</v>
      </c>
      <c r="F79" t="s">
        <v>41</v>
      </c>
      <c r="G79" t="s">
        <v>44</v>
      </c>
      <c r="H79" t="s">
        <v>31</v>
      </c>
      <c r="I79" t="s">
        <v>16</v>
      </c>
      <c r="J79" s="2">
        <f t="shared" si="1"/>
        <v>999.99600000000009</v>
      </c>
    </row>
    <row r="80" spans="1:10" x14ac:dyDescent="0.25">
      <c r="A80" s="3">
        <v>10535</v>
      </c>
      <c r="B80" s="1">
        <v>44889</v>
      </c>
      <c r="C80" t="s">
        <v>21</v>
      </c>
      <c r="D80" s="2">
        <v>12.99</v>
      </c>
      <c r="E80" s="3">
        <v>477.29</v>
      </c>
      <c r="F80" t="s">
        <v>41</v>
      </c>
      <c r="G80" t="s">
        <v>43</v>
      </c>
      <c r="H80" t="s">
        <v>31</v>
      </c>
      <c r="I80" t="s">
        <v>16</v>
      </c>
      <c r="J80" s="2">
        <f t="shared" si="1"/>
        <v>6199.9971000000005</v>
      </c>
    </row>
    <row r="81" spans="1:10" x14ac:dyDescent="0.25">
      <c r="A81" s="3">
        <v>10536</v>
      </c>
      <c r="B81" s="1">
        <v>44889</v>
      </c>
      <c r="C81" t="s">
        <v>25</v>
      </c>
      <c r="D81" s="2">
        <v>9.9499999999999993</v>
      </c>
      <c r="E81" s="3">
        <v>201.01</v>
      </c>
      <c r="F81" t="s">
        <v>41</v>
      </c>
      <c r="G81" t="s">
        <v>43</v>
      </c>
      <c r="H81" t="s">
        <v>31</v>
      </c>
      <c r="I81" t="s">
        <v>16</v>
      </c>
      <c r="J81" s="2">
        <f t="shared" si="1"/>
        <v>2000.0494999999999</v>
      </c>
    </row>
    <row r="82" spans="1:10" x14ac:dyDescent="0.25">
      <c r="A82" s="3">
        <v>10540</v>
      </c>
      <c r="B82" s="1">
        <v>44890</v>
      </c>
      <c r="C82" t="s">
        <v>21</v>
      </c>
      <c r="D82" s="2">
        <v>12.99</v>
      </c>
      <c r="E82" s="3">
        <v>461.89</v>
      </c>
      <c r="F82" t="s">
        <v>41</v>
      </c>
      <c r="G82" t="s">
        <v>43</v>
      </c>
      <c r="H82" t="s">
        <v>31</v>
      </c>
      <c r="I82" t="s">
        <v>16</v>
      </c>
      <c r="J82" s="2">
        <f t="shared" si="1"/>
        <v>5999.9511000000002</v>
      </c>
    </row>
    <row r="83" spans="1:10" x14ac:dyDescent="0.25">
      <c r="A83" s="3">
        <v>10541</v>
      </c>
      <c r="B83" s="1">
        <v>44890</v>
      </c>
      <c r="C83" t="s">
        <v>25</v>
      </c>
      <c r="D83" s="2">
        <v>9.9499999999999993</v>
      </c>
      <c r="E83" s="3">
        <v>201.01</v>
      </c>
      <c r="F83" t="s">
        <v>41</v>
      </c>
      <c r="G83" t="s">
        <v>43</v>
      </c>
      <c r="H83" t="s">
        <v>38</v>
      </c>
      <c r="I83" t="s">
        <v>13</v>
      </c>
      <c r="J83" s="2">
        <f t="shared" si="1"/>
        <v>2000.0494999999999</v>
      </c>
    </row>
    <row r="84" spans="1:10" x14ac:dyDescent="0.25">
      <c r="A84" s="3">
        <v>10542</v>
      </c>
      <c r="B84" s="1">
        <v>44890</v>
      </c>
      <c r="C84" t="s">
        <v>9</v>
      </c>
      <c r="D84" s="2">
        <v>3.49</v>
      </c>
      <c r="E84" s="3">
        <v>630.37</v>
      </c>
      <c r="F84" t="s">
        <v>41</v>
      </c>
      <c r="G84" t="s">
        <v>43</v>
      </c>
      <c r="H84" t="s">
        <v>38</v>
      </c>
      <c r="I84" t="s">
        <v>13</v>
      </c>
      <c r="J84" s="2">
        <f t="shared" si="1"/>
        <v>2199.9913000000001</v>
      </c>
    </row>
    <row r="85" spans="1:10" x14ac:dyDescent="0.25">
      <c r="A85" s="3">
        <v>10543</v>
      </c>
      <c r="B85" s="1">
        <v>44890</v>
      </c>
      <c r="C85" t="s">
        <v>14</v>
      </c>
      <c r="D85" s="2">
        <v>2.95</v>
      </c>
      <c r="E85" s="3">
        <v>745.76</v>
      </c>
      <c r="F85" t="s">
        <v>41</v>
      </c>
      <c r="G85" t="s">
        <v>43</v>
      </c>
      <c r="H85" t="s">
        <v>38</v>
      </c>
      <c r="I85" t="s">
        <v>13</v>
      </c>
      <c r="J85" s="2">
        <f t="shared" si="1"/>
        <v>2199.9920000000002</v>
      </c>
    </row>
    <row r="86" spans="1:10" x14ac:dyDescent="0.25">
      <c r="A86" s="3">
        <v>10544</v>
      </c>
      <c r="B86" s="1">
        <v>44890</v>
      </c>
      <c r="C86" t="s">
        <v>17</v>
      </c>
      <c r="D86" s="2">
        <v>4.99</v>
      </c>
      <c r="E86" s="3">
        <v>200.4</v>
      </c>
      <c r="F86" t="s">
        <v>41</v>
      </c>
      <c r="G86" t="s">
        <v>43</v>
      </c>
      <c r="H86" t="s">
        <v>38</v>
      </c>
      <c r="I86" t="s">
        <v>13</v>
      </c>
      <c r="J86" s="2">
        <f t="shared" si="1"/>
        <v>999.99600000000009</v>
      </c>
    </row>
    <row r="87" spans="1:10" x14ac:dyDescent="0.25">
      <c r="A87" s="3">
        <v>10545</v>
      </c>
      <c r="B87" s="1">
        <v>44891</v>
      </c>
      <c r="C87" t="s">
        <v>21</v>
      </c>
      <c r="D87" s="2">
        <v>12.99</v>
      </c>
      <c r="E87" s="3">
        <v>446.5</v>
      </c>
      <c r="F87" t="s">
        <v>41</v>
      </c>
      <c r="G87" t="s">
        <v>43</v>
      </c>
      <c r="H87" t="s">
        <v>38</v>
      </c>
      <c r="I87" t="s">
        <v>13</v>
      </c>
      <c r="J87" s="2">
        <f t="shared" si="1"/>
        <v>5800.0349999999999</v>
      </c>
    </row>
    <row r="88" spans="1:10" x14ac:dyDescent="0.25">
      <c r="A88" s="3">
        <v>10546</v>
      </c>
      <c r="B88" s="1">
        <v>44891</v>
      </c>
      <c r="C88" t="s">
        <v>25</v>
      </c>
      <c r="D88" s="2">
        <v>9.9499999999999993</v>
      </c>
      <c r="E88" s="3">
        <v>201.01</v>
      </c>
      <c r="F88" t="s">
        <v>41</v>
      </c>
      <c r="G88" t="s">
        <v>43</v>
      </c>
      <c r="H88" t="s">
        <v>38</v>
      </c>
      <c r="I88" t="s">
        <v>13</v>
      </c>
      <c r="J88" s="2">
        <f t="shared" si="1"/>
        <v>2000.0494999999999</v>
      </c>
    </row>
    <row r="89" spans="1:10" x14ac:dyDescent="0.25">
      <c r="A89" s="3">
        <v>10547</v>
      </c>
      <c r="B89" s="1">
        <v>44891</v>
      </c>
      <c r="C89" t="s">
        <v>9</v>
      </c>
      <c r="D89" s="2">
        <v>3.49</v>
      </c>
      <c r="E89" s="3">
        <v>630.37</v>
      </c>
      <c r="F89" t="s">
        <v>41</v>
      </c>
      <c r="G89" t="s">
        <v>43</v>
      </c>
      <c r="H89" t="s">
        <v>38</v>
      </c>
      <c r="I89" t="s">
        <v>13</v>
      </c>
      <c r="J89" s="2">
        <f t="shared" si="1"/>
        <v>2199.9913000000001</v>
      </c>
    </row>
    <row r="90" spans="1:10" x14ac:dyDescent="0.25">
      <c r="A90" s="3">
        <v>10548</v>
      </c>
      <c r="B90" s="1">
        <v>44891</v>
      </c>
      <c r="C90" t="s">
        <v>14</v>
      </c>
      <c r="D90" s="2">
        <v>2.95</v>
      </c>
      <c r="E90" s="3">
        <v>745.76</v>
      </c>
      <c r="F90" t="s">
        <v>41</v>
      </c>
      <c r="G90" t="s">
        <v>43</v>
      </c>
      <c r="H90" t="s">
        <v>38</v>
      </c>
      <c r="I90" t="s">
        <v>13</v>
      </c>
      <c r="J90" s="2">
        <f t="shared" si="1"/>
        <v>2199.9920000000002</v>
      </c>
    </row>
    <row r="91" spans="1:10" x14ac:dyDescent="0.25">
      <c r="A91" s="3">
        <v>10549</v>
      </c>
      <c r="B91" s="1">
        <v>44891</v>
      </c>
      <c r="C91" t="s">
        <v>17</v>
      </c>
      <c r="D91" s="2">
        <v>4.99</v>
      </c>
      <c r="E91" s="3">
        <v>200.4</v>
      </c>
      <c r="F91" t="s">
        <v>41</v>
      </c>
      <c r="G91" t="s">
        <v>43</v>
      </c>
      <c r="H91" t="s">
        <v>38</v>
      </c>
      <c r="I91" t="s">
        <v>13</v>
      </c>
      <c r="J91" s="2">
        <f t="shared" si="1"/>
        <v>999.99600000000009</v>
      </c>
    </row>
    <row r="92" spans="1:10" x14ac:dyDescent="0.25">
      <c r="A92" s="3">
        <v>10550</v>
      </c>
      <c r="B92" s="1">
        <v>44892</v>
      </c>
      <c r="C92" t="s">
        <v>21</v>
      </c>
      <c r="D92" s="2">
        <v>12.99</v>
      </c>
      <c r="E92" s="3">
        <v>461.89</v>
      </c>
      <c r="F92" t="s">
        <v>41</v>
      </c>
      <c r="G92" t="s">
        <v>43</v>
      </c>
      <c r="H92" t="s">
        <v>38</v>
      </c>
      <c r="I92" t="s">
        <v>13</v>
      </c>
      <c r="J92" s="2">
        <f t="shared" si="1"/>
        <v>5999.9511000000002</v>
      </c>
    </row>
    <row r="93" spans="1:10" x14ac:dyDescent="0.25">
      <c r="A93" s="3">
        <v>10551</v>
      </c>
      <c r="B93" s="1">
        <v>44892</v>
      </c>
      <c r="C93" t="s">
        <v>25</v>
      </c>
      <c r="D93" s="2">
        <v>9.9499999999999993</v>
      </c>
      <c r="E93" s="3">
        <v>201.01</v>
      </c>
      <c r="F93" t="s">
        <v>41</v>
      </c>
      <c r="G93" t="s">
        <v>43</v>
      </c>
      <c r="H93" t="s">
        <v>38</v>
      </c>
      <c r="I93" t="s">
        <v>13</v>
      </c>
      <c r="J93" s="2">
        <f t="shared" si="1"/>
        <v>2000.0494999999999</v>
      </c>
    </row>
    <row r="94" spans="1:10" x14ac:dyDescent="0.25">
      <c r="A94" s="3">
        <v>10552</v>
      </c>
      <c r="B94" s="1">
        <v>44892</v>
      </c>
      <c r="C94" t="s">
        <v>9</v>
      </c>
      <c r="D94" s="2">
        <v>3.49</v>
      </c>
      <c r="E94" s="3">
        <v>630.37</v>
      </c>
      <c r="F94" t="s">
        <v>39</v>
      </c>
      <c r="G94" t="s">
        <v>43</v>
      </c>
      <c r="H94" t="s">
        <v>38</v>
      </c>
      <c r="I94" t="s">
        <v>13</v>
      </c>
      <c r="J94" s="2">
        <f t="shared" si="1"/>
        <v>2199.9913000000001</v>
      </c>
    </row>
    <row r="95" spans="1:10" x14ac:dyDescent="0.25">
      <c r="A95" s="3">
        <v>10553</v>
      </c>
      <c r="B95" s="1">
        <v>44892</v>
      </c>
      <c r="C95" t="s">
        <v>14</v>
      </c>
      <c r="D95" s="2">
        <v>2.95</v>
      </c>
      <c r="E95" s="3">
        <v>745.76</v>
      </c>
      <c r="F95" t="s">
        <v>39</v>
      </c>
      <c r="G95" t="s">
        <v>43</v>
      </c>
      <c r="H95" t="s">
        <v>38</v>
      </c>
      <c r="I95" t="s">
        <v>13</v>
      </c>
      <c r="J95" s="2">
        <f t="shared" si="1"/>
        <v>2199.9920000000002</v>
      </c>
    </row>
    <row r="96" spans="1:10" x14ac:dyDescent="0.25">
      <c r="A96" s="3">
        <v>10554</v>
      </c>
      <c r="B96" s="1">
        <v>44892</v>
      </c>
      <c r="C96" t="s">
        <v>17</v>
      </c>
      <c r="D96" s="2">
        <v>4.99</v>
      </c>
      <c r="E96" s="3">
        <v>200.4</v>
      </c>
      <c r="F96" t="s">
        <v>39</v>
      </c>
      <c r="G96" t="s">
        <v>43</v>
      </c>
      <c r="H96" t="s">
        <v>38</v>
      </c>
      <c r="I96" t="s">
        <v>13</v>
      </c>
      <c r="J96" s="2">
        <f t="shared" si="1"/>
        <v>999.99600000000009</v>
      </c>
    </row>
    <row r="97" spans="1:10" x14ac:dyDescent="0.25">
      <c r="A97" s="3">
        <v>10555</v>
      </c>
      <c r="B97" s="1">
        <v>44893</v>
      </c>
      <c r="C97" t="s">
        <v>21</v>
      </c>
      <c r="D97" s="2">
        <v>12.99</v>
      </c>
      <c r="E97" s="3">
        <v>477.29</v>
      </c>
      <c r="F97" t="s">
        <v>39</v>
      </c>
      <c r="G97" t="s">
        <v>43</v>
      </c>
      <c r="H97" t="s">
        <v>38</v>
      </c>
      <c r="I97" t="s">
        <v>13</v>
      </c>
      <c r="J97" s="2">
        <f t="shared" si="1"/>
        <v>6199.9971000000005</v>
      </c>
    </row>
    <row r="98" spans="1:10" x14ac:dyDescent="0.25">
      <c r="A98" s="3">
        <v>10556</v>
      </c>
      <c r="B98" s="1">
        <v>44893</v>
      </c>
      <c r="C98" t="s">
        <v>25</v>
      </c>
      <c r="D98" s="2">
        <v>9.9499999999999993</v>
      </c>
      <c r="E98" s="3">
        <v>201.01</v>
      </c>
      <c r="F98" t="s">
        <v>39</v>
      </c>
      <c r="G98" t="s">
        <v>43</v>
      </c>
      <c r="H98" t="s">
        <v>38</v>
      </c>
      <c r="I98" t="s">
        <v>13</v>
      </c>
      <c r="J98" s="2">
        <f t="shared" si="1"/>
        <v>2000.0494999999999</v>
      </c>
    </row>
    <row r="99" spans="1:10" x14ac:dyDescent="0.25">
      <c r="A99" s="3">
        <v>10557</v>
      </c>
      <c r="B99" s="1">
        <v>44893</v>
      </c>
      <c r="C99" t="s">
        <v>9</v>
      </c>
      <c r="D99" s="2">
        <v>3.49</v>
      </c>
      <c r="E99" s="3">
        <v>630.37</v>
      </c>
      <c r="F99" t="s">
        <v>39</v>
      </c>
      <c r="G99" t="s">
        <v>43</v>
      </c>
      <c r="H99" t="s">
        <v>38</v>
      </c>
      <c r="I99" t="s">
        <v>13</v>
      </c>
      <c r="J99" s="2">
        <f t="shared" si="1"/>
        <v>2199.9913000000001</v>
      </c>
    </row>
    <row r="100" spans="1:10" x14ac:dyDescent="0.25">
      <c r="A100" s="3">
        <v>10558</v>
      </c>
      <c r="B100" s="1">
        <v>44893</v>
      </c>
      <c r="C100" t="s">
        <v>14</v>
      </c>
      <c r="D100" s="2">
        <v>2.95</v>
      </c>
      <c r="E100" s="3">
        <v>677.97</v>
      </c>
      <c r="F100" t="s">
        <v>39</v>
      </c>
      <c r="G100" t="s">
        <v>43</v>
      </c>
      <c r="H100" t="s">
        <v>38</v>
      </c>
      <c r="I100" t="s">
        <v>13</v>
      </c>
      <c r="J100" s="2">
        <f t="shared" si="1"/>
        <v>2000.0115000000003</v>
      </c>
    </row>
    <row r="101" spans="1:10" x14ac:dyDescent="0.25">
      <c r="A101" s="3">
        <v>10559</v>
      </c>
      <c r="B101" s="1">
        <v>44893</v>
      </c>
      <c r="C101" t="s">
        <v>17</v>
      </c>
      <c r="D101" s="2">
        <v>4.99</v>
      </c>
      <c r="E101" s="3">
        <v>200.4</v>
      </c>
      <c r="F101" t="s">
        <v>39</v>
      </c>
      <c r="G101" t="s">
        <v>43</v>
      </c>
      <c r="H101" t="s">
        <v>38</v>
      </c>
      <c r="I101" t="s">
        <v>13</v>
      </c>
      <c r="J101" s="2">
        <f t="shared" si="1"/>
        <v>999.99600000000009</v>
      </c>
    </row>
    <row r="102" spans="1:10" x14ac:dyDescent="0.25">
      <c r="A102" s="3">
        <v>10560</v>
      </c>
      <c r="B102" s="1">
        <v>44894</v>
      </c>
      <c r="C102" t="s">
        <v>21</v>
      </c>
      <c r="D102" s="2">
        <v>12.99</v>
      </c>
      <c r="E102" s="3">
        <v>477.29</v>
      </c>
      <c r="F102" t="s">
        <v>39</v>
      </c>
      <c r="G102" t="s">
        <v>43</v>
      </c>
      <c r="H102" t="s">
        <v>38</v>
      </c>
      <c r="I102" t="s">
        <v>13</v>
      </c>
      <c r="J102" s="2">
        <f t="shared" si="1"/>
        <v>6199.9971000000005</v>
      </c>
    </row>
    <row r="103" spans="1:10" x14ac:dyDescent="0.25">
      <c r="A103" s="3">
        <v>10561</v>
      </c>
      <c r="B103" s="1">
        <v>44894</v>
      </c>
      <c r="C103" t="s">
        <v>25</v>
      </c>
      <c r="D103" s="2">
        <v>9.9499999999999993</v>
      </c>
      <c r="E103" s="3">
        <v>201.01</v>
      </c>
      <c r="F103" t="s">
        <v>39</v>
      </c>
      <c r="G103" t="s">
        <v>43</v>
      </c>
      <c r="H103" t="s">
        <v>38</v>
      </c>
      <c r="I103" t="s">
        <v>13</v>
      </c>
      <c r="J103" s="2">
        <f t="shared" si="1"/>
        <v>2000.0494999999999</v>
      </c>
    </row>
    <row r="104" spans="1:10" x14ac:dyDescent="0.25">
      <c r="A104" s="3">
        <v>10562</v>
      </c>
      <c r="B104" s="1">
        <v>44894</v>
      </c>
      <c r="C104" t="s">
        <v>9</v>
      </c>
      <c r="D104" s="2">
        <v>3.49</v>
      </c>
      <c r="E104" s="3">
        <v>630.37</v>
      </c>
      <c r="F104" t="s">
        <v>39</v>
      </c>
      <c r="G104" t="s">
        <v>43</v>
      </c>
      <c r="H104" t="s">
        <v>38</v>
      </c>
      <c r="I104" t="s">
        <v>13</v>
      </c>
      <c r="J104" s="2">
        <f t="shared" si="1"/>
        <v>2199.9913000000001</v>
      </c>
    </row>
    <row r="105" spans="1:10" x14ac:dyDescent="0.25">
      <c r="A105" s="3">
        <v>10563</v>
      </c>
      <c r="B105" s="1">
        <v>44894</v>
      </c>
      <c r="C105" t="s">
        <v>14</v>
      </c>
      <c r="D105" s="2">
        <v>2.95</v>
      </c>
      <c r="E105" s="3">
        <v>677.97</v>
      </c>
      <c r="F105" t="s">
        <v>39</v>
      </c>
      <c r="G105" t="s">
        <v>43</v>
      </c>
      <c r="H105" t="s">
        <v>38</v>
      </c>
      <c r="I105" t="s">
        <v>13</v>
      </c>
      <c r="J105" s="2">
        <f t="shared" si="1"/>
        <v>2000.0115000000003</v>
      </c>
    </row>
    <row r="106" spans="1:10" x14ac:dyDescent="0.25">
      <c r="A106" s="3">
        <v>10564</v>
      </c>
      <c r="B106" s="1">
        <v>44894</v>
      </c>
      <c r="C106" t="s">
        <v>17</v>
      </c>
      <c r="D106" s="2">
        <v>4.99</v>
      </c>
      <c r="E106" s="3">
        <v>200.4</v>
      </c>
      <c r="F106" t="s">
        <v>39</v>
      </c>
      <c r="G106" t="s">
        <v>43</v>
      </c>
      <c r="H106" t="s">
        <v>38</v>
      </c>
      <c r="I106" t="s">
        <v>13</v>
      </c>
      <c r="J106" s="2">
        <f t="shared" si="1"/>
        <v>999.99600000000009</v>
      </c>
    </row>
    <row r="107" spans="1:10" x14ac:dyDescent="0.25">
      <c r="A107" s="3">
        <v>10565</v>
      </c>
      <c r="B107" s="1">
        <v>44895</v>
      </c>
      <c r="C107" t="s">
        <v>21</v>
      </c>
      <c r="D107" s="2">
        <v>12.99</v>
      </c>
      <c r="E107" s="3">
        <v>492.69</v>
      </c>
      <c r="F107" t="s">
        <v>39</v>
      </c>
      <c r="G107" t="s">
        <v>43</v>
      </c>
      <c r="H107" t="s">
        <v>38</v>
      </c>
      <c r="I107" t="s">
        <v>13</v>
      </c>
      <c r="J107" s="2">
        <f t="shared" si="1"/>
        <v>6400.0430999999999</v>
      </c>
    </row>
    <row r="108" spans="1:10" x14ac:dyDescent="0.25">
      <c r="A108" s="3">
        <v>10566</v>
      </c>
      <c r="B108" s="1">
        <v>44895</v>
      </c>
      <c r="C108" t="s">
        <v>25</v>
      </c>
      <c r="D108" s="2">
        <v>9.9499999999999993</v>
      </c>
      <c r="E108" s="3">
        <v>201.01</v>
      </c>
      <c r="F108" t="s">
        <v>39</v>
      </c>
      <c r="G108" t="s">
        <v>43</v>
      </c>
      <c r="H108" t="s">
        <v>38</v>
      </c>
      <c r="I108" t="s">
        <v>13</v>
      </c>
      <c r="J108" s="2">
        <f t="shared" si="1"/>
        <v>2000.0494999999999</v>
      </c>
    </row>
    <row r="109" spans="1:10" x14ac:dyDescent="0.25">
      <c r="A109" s="3">
        <v>10567</v>
      </c>
      <c r="B109" s="1">
        <v>44895</v>
      </c>
      <c r="C109" t="s">
        <v>9</v>
      </c>
      <c r="D109" s="2">
        <v>3.49</v>
      </c>
      <c r="E109" s="3">
        <v>630.37</v>
      </c>
      <c r="F109" t="s">
        <v>39</v>
      </c>
      <c r="G109" t="s">
        <v>43</v>
      </c>
      <c r="H109" t="s">
        <v>38</v>
      </c>
      <c r="I109" t="s">
        <v>13</v>
      </c>
      <c r="J109" s="2">
        <f t="shared" si="1"/>
        <v>2199.9913000000001</v>
      </c>
    </row>
    <row r="110" spans="1:10" x14ac:dyDescent="0.25">
      <c r="A110" s="3">
        <v>10568</v>
      </c>
      <c r="B110" s="1">
        <v>44895</v>
      </c>
      <c r="C110" t="s">
        <v>14</v>
      </c>
      <c r="D110" s="2">
        <v>2.95</v>
      </c>
      <c r="E110" s="3">
        <v>677.97</v>
      </c>
      <c r="F110" t="s">
        <v>39</v>
      </c>
      <c r="G110" t="s">
        <v>43</v>
      </c>
      <c r="H110" t="s">
        <v>38</v>
      </c>
      <c r="I110" t="s">
        <v>13</v>
      </c>
      <c r="J110" s="2">
        <f t="shared" si="1"/>
        <v>2000.0115000000003</v>
      </c>
    </row>
    <row r="111" spans="1:10" x14ac:dyDescent="0.25">
      <c r="A111" s="3">
        <v>10569</v>
      </c>
      <c r="B111" s="1">
        <v>44895</v>
      </c>
      <c r="C111" t="s">
        <v>17</v>
      </c>
      <c r="D111" s="2">
        <v>4.99</v>
      </c>
      <c r="E111" s="3">
        <v>200.4</v>
      </c>
      <c r="F111" t="s">
        <v>39</v>
      </c>
      <c r="G111" t="s">
        <v>43</v>
      </c>
      <c r="H111" t="s">
        <v>38</v>
      </c>
      <c r="I111" t="s">
        <v>13</v>
      </c>
      <c r="J111" s="2">
        <f t="shared" si="1"/>
        <v>999.99600000000009</v>
      </c>
    </row>
    <row r="112" spans="1:10" x14ac:dyDescent="0.25">
      <c r="A112" s="3">
        <v>10570</v>
      </c>
      <c r="B112" s="1">
        <v>44896</v>
      </c>
      <c r="C112" t="s">
        <v>21</v>
      </c>
      <c r="D112" s="2">
        <v>12.99</v>
      </c>
      <c r="E112" s="3">
        <v>492.69</v>
      </c>
      <c r="F112" t="s">
        <v>39</v>
      </c>
      <c r="G112" t="s">
        <v>43</v>
      </c>
      <c r="H112" t="s">
        <v>38</v>
      </c>
      <c r="I112" t="s">
        <v>13</v>
      </c>
      <c r="J112" s="2">
        <f t="shared" si="1"/>
        <v>6400.0430999999999</v>
      </c>
    </row>
    <row r="113" spans="1:10" x14ac:dyDescent="0.25">
      <c r="A113" s="3">
        <v>10571</v>
      </c>
      <c r="B113" s="1">
        <v>44896</v>
      </c>
      <c r="C113" t="s">
        <v>25</v>
      </c>
      <c r="D113" s="2">
        <v>9.9499999999999993</v>
      </c>
      <c r="E113" s="3">
        <v>201.01</v>
      </c>
      <c r="F113" t="s">
        <v>39</v>
      </c>
      <c r="G113" t="s">
        <v>43</v>
      </c>
      <c r="H113" t="s">
        <v>38</v>
      </c>
      <c r="I113" t="s">
        <v>13</v>
      </c>
      <c r="J113" s="2">
        <f t="shared" si="1"/>
        <v>2000.0494999999999</v>
      </c>
    </row>
    <row r="114" spans="1:10" x14ac:dyDescent="0.25">
      <c r="A114" s="3">
        <v>10572</v>
      </c>
      <c r="B114" s="1">
        <v>44896</v>
      </c>
      <c r="C114" t="s">
        <v>9</v>
      </c>
      <c r="D114" s="2">
        <v>3.49</v>
      </c>
      <c r="E114" s="3">
        <v>573.07000000000005</v>
      </c>
      <c r="F114" t="s">
        <v>39</v>
      </c>
      <c r="G114" t="s">
        <v>43</v>
      </c>
      <c r="H114" t="s">
        <v>28</v>
      </c>
      <c r="I114" t="s">
        <v>27</v>
      </c>
      <c r="J114" s="2">
        <f t="shared" si="1"/>
        <v>2000.0143000000003</v>
      </c>
    </row>
    <row r="115" spans="1:10" x14ac:dyDescent="0.25">
      <c r="A115" s="3">
        <v>10573</v>
      </c>
      <c r="B115" s="1">
        <v>44896</v>
      </c>
      <c r="C115" t="s">
        <v>14</v>
      </c>
      <c r="D115" s="2">
        <v>2.95</v>
      </c>
      <c r="E115" s="3">
        <v>677.97</v>
      </c>
      <c r="F115" t="s">
        <v>39</v>
      </c>
      <c r="G115" t="s">
        <v>43</v>
      </c>
      <c r="H115" t="s">
        <v>28</v>
      </c>
      <c r="I115" t="s">
        <v>27</v>
      </c>
      <c r="J115" s="2">
        <f t="shared" si="1"/>
        <v>2000.0115000000003</v>
      </c>
    </row>
    <row r="116" spans="1:10" x14ac:dyDescent="0.25">
      <c r="A116" s="3">
        <v>10574</v>
      </c>
      <c r="B116" s="1">
        <v>44896</v>
      </c>
      <c r="C116" t="s">
        <v>17</v>
      </c>
      <c r="D116" s="2">
        <v>4.99</v>
      </c>
      <c r="E116" s="3">
        <v>200.4</v>
      </c>
      <c r="F116" t="s">
        <v>39</v>
      </c>
      <c r="G116" t="s">
        <v>43</v>
      </c>
      <c r="H116" t="s">
        <v>28</v>
      </c>
      <c r="I116" t="s">
        <v>27</v>
      </c>
      <c r="J116" s="2">
        <f t="shared" si="1"/>
        <v>999.99600000000009</v>
      </c>
    </row>
    <row r="117" spans="1:10" x14ac:dyDescent="0.25">
      <c r="A117" s="3">
        <v>10575</v>
      </c>
      <c r="B117" s="1">
        <v>44897</v>
      </c>
      <c r="C117" t="s">
        <v>21</v>
      </c>
      <c r="D117" s="2">
        <v>12.99</v>
      </c>
      <c r="E117" s="3">
        <v>523.48</v>
      </c>
      <c r="F117" t="s">
        <v>39</v>
      </c>
      <c r="G117" t="s">
        <v>43</v>
      </c>
      <c r="H117" t="s">
        <v>28</v>
      </c>
      <c r="I117" t="s">
        <v>27</v>
      </c>
      <c r="J117" s="2">
        <f t="shared" si="1"/>
        <v>6800.0052000000005</v>
      </c>
    </row>
    <row r="118" spans="1:10" x14ac:dyDescent="0.25">
      <c r="A118" s="3">
        <v>10576</v>
      </c>
      <c r="B118" s="1">
        <v>44897</v>
      </c>
      <c r="C118" t="s">
        <v>25</v>
      </c>
      <c r="D118" s="2">
        <v>9.9499999999999993</v>
      </c>
      <c r="E118" s="3">
        <v>201.01</v>
      </c>
      <c r="F118" t="s">
        <v>39</v>
      </c>
      <c r="G118" t="s">
        <v>43</v>
      </c>
      <c r="H118" t="s">
        <v>28</v>
      </c>
      <c r="I118" t="s">
        <v>27</v>
      </c>
      <c r="J118" s="2">
        <f t="shared" si="1"/>
        <v>2000.0494999999999</v>
      </c>
    </row>
    <row r="119" spans="1:10" x14ac:dyDescent="0.25">
      <c r="A119" s="3">
        <v>10577</v>
      </c>
      <c r="B119" s="1">
        <v>44897</v>
      </c>
      <c r="C119" t="s">
        <v>9</v>
      </c>
      <c r="D119" s="2">
        <v>3.49</v>
      </c>
      <c r="E119" s="3">
        <v>630.37</v>
      </c>
      <c r="F119" t="s">
        <v>39</v>
      </c>
      <c r="G119" t="s">
        <v>43</v>
      </c>
      <c r="H119" t="s">
        <v>28</v>
      </c>
      <c r="I119" t="s">
        <v>27</v>
      </c>
      <c r="J119" s="2">
        <f t="shared" si="1"/>
        <v>2199.9913000000001</v>
      </c>
    </row>
    <row r="120" spans="1:10" x14ac:dyDescent="0.25">
      <c r="A120" s="3">
        <v>10578</v>
      </c>
      <c r="B120" s="1">
        <v>44897</v>
      </c>
      <c r="C120" t="s">
        <v>14</v>
      </c>
      <c r="D120" s="2">
        <v>2.95</v>
      </c>
      <c r="E120" s="3">
        <v>677.97</v>
      </c>
      <c r="F120" t="s">
        <v>39</v>
      </c>
      <c r="G120" t="s">
        <v>43</v>
      </c>
      <c r="H120" t="s">
        <v>28</v>
      </c>
      <c r="I120" t="s">
        <v>27</v>
      </c>
      <c r="J120" s="2">
        <f t="shared" si="1"/>
        <v>2000.0115000000003</v>
      </c>
    </row>
    <row r="121" spans="1:10" x14ac:dyDescent="0.25">
      <c r="A121" s="3">
        <v>10579</v>
      </c>
      <c r="B121" s="1">
        <v>44897</v>
      </c>
      <c r="C121" t="s">
        <v>17</v>
      </c>
      <c r="D121" s="2">
        <v>4.99</v>
      </c>
      <c r="E121" s="3">
        <v>200.4</v>
      </c>
      <c r="F121" t="s">
        <v>39</v>
      </c>
      <c r="G121" t="s">
        <v>43</v>
      </c>
      <c r="H121" t="s">
        <v>28</v>
      </c>
      <c r="I121" t="s">
        <v>27</v>
      </c>
      <c r="J121" s="2">
        <f t="shared" si="1"/>
        <v>999.99600000000009</v>
      </c>
    </row>
    <row r="122" spans="1:10" x14ac:dyDescent="0.25">
      <c r="A122" s="3">
        <v>10580</v>
      </c>
      <c r="B122" s="1">
        <v>44898</v>
      </c>
      <c r="C122" t="s">
        <v>21</v>
      </c>
      <c r="D122" s="2">
        <v>12.99</v>
      </c>
      <c r="E122" s="3">
        <v>523.48</v>
      </c>
      <c r="F122" t="s">
        <v>39</v>
      </c>
      <c r="G122" t="s">
        <v>43</v>
      </c>
      <c r="H122" t="s">
        <v>28</v>
      </c>
      <c r="I122" t="s">
        <v>27</v>
      </c>
      <c r="J122" s="2">
        <f t="shared" si="1"/>
        <v>6800.0052000000005</v>
      </c>
    </row>
    <row r="123" spans="1:10" x14ac:dyDescent="0.25">
      <c r="A123" s="3">
        <v>10581</v>
      </c>
      <c r="B123" s="1">
        <v>44898</v>
      </c>
      <c r="C123" t="s">
        <v>25</v>
      </c>
      <c r="D123" s="2">
        <v>9.9499999999999993</v>
      </c>
      <c r="E123" s="3">
        <v>201.01</v>
      </c>
      <c r="F123" t="s">
        <v>39</v>
      </c>
      <c r="G123" t="s">
        <v>43</v>
      </c>
      <c r="H123" t="s">
        <v>28</v>
      </c>
      <c r="I123" t="s">
        <v>27</v>
      </c>
      <c r="J123" s="2">
        <f t="shared" si="1"/>
        <v>2000.0494999999999</v>
      </c>
    </row>
    <row r="124" spans="1:10" x14ac:dyDescent="0.25">
      <c r="A124" s="3">
        <v>10582</v>
      </c>
      <c r="B124" s="1">
        <v>44898</v>
      </c>
      <c r="C124" t="s">
        <v>9</v>
      </c>
      <c r="D124" s="2">
        <v>3.49</v>
      </c>
      <c r="E124" s="3">
        <v>630.37</v>
      </c>
      <c r="F124" t="s">
        <v>39</v>
      </c>
      <c r="G124" t="s">
        <v>43</v>
      </c>
      <c r="H124" t="s">
        <v>38</v>
      </c>
      <c r="I124" t="s">
        <v>13</v>
      </c>
      <c r="J124" s="2">
        <f t="shared" si="1"/>
        <v>2199.9913000000001</v>
      </c>
    </row>
    <row r="125" spans="1:10" x14ac:dyDescent="0.25">
      <c r="A125" s="3">
        <v>10583</v>
      </c>
      <c r="B125" s="1">
        <v>44898</v>
      </c>
      <c r="C125" t="s">
        <v>14</v>
      </c>
      <c r="D125" s="2">
        <v>2.95</v>
      </c>
      <c r="E125" s="3">
        <v>677.97</v>
      </c>
      <c r="F125" t="s">
        <v>39</v>
      </c>
      <c r="G125" t="s">
        <v>43</v>
      </c>
      <c r="H125" t="s">
        <v>38</v>
      </c>
      <c r="I125" t="s">
        <v>13</v>
      </c>
      <c r="J125" s="2">
        <f t="shared" si="1"/>
        <v>2000.0115000000003</v>
      </c>
    </row>
    <row r="126" spans="1:10" x14ac:dyDescent="0.25">
      <c r="A126" s="3">
        <v>10584</v>
      </c>
      <c r="B126" s="1">
        <v>44898</v>
      </c>
      <c r="C126" t="s">
        <v>17</v>
      </c>
      <c r="D126" s="2">
        <v>4.99</v>
      </c>
      <c r="E126" s="3">
        <v>200.4</v>
      </c>
      <c r="F126" t="s">
        <v>39</v>
      </c>
      <c r="G126" t="s">
        <v>43</v>
      </c>
      <c r="H126" t="s">
        <v>38</v>
      </c>
      <c r="I126" t="s">
        <v>13</v>
      </c>
      <c r="J126" s="2">
        <f t="shared" si="1"/>
        <v>999.99600000000009</v>
      </c>
    </row>
    <row r="127" spans="1:10" x14ac:dyDescent="0.25">
      <c r="A127" s="3">
        <v>10585</v>
      </c>
      <c r="B127" s="1">
        <v>44899</v>
      </c>
      <c r="C127" t="s">
        <v>21</v>
      </c>
      <c r="D127" s="2">
        <v>12.99</v>
      </c>
      <c r="E127" s="3">
        <v>538.88</v>
      </c>
      <c r="F127" t="s">
        <v>39</v>
      </c>
      <c r="G127" t="s">
        <v>43</v>
      </c>
      <c r="H127" t="s">
        <v>38</v>
      </c>
      <c r="I127" t="s">
        <v>13</v>
      </c>
      <c r="J127" s="2">
        <f t="shared" si="1"/>
        <v>7000.0511999999999</v>
      </c>
    </row>
    <row r="128" spans="1:10" x14ac:dyDescent="0.25">
      <c r="A128" s="3">
        <v>10586</v>
      </c>
      <c r="B128" s="1">
        <v>44899</v>
      </c>
      <c r="C128" t="s">
        <v>25</v>
      </c>
      <c r="D128" s="2">
        <v>9.9499999999999993</v>
      </c>
      <c r="E128" s="3">
        <v>201.01</v>
      </c>
      <c r="F128" t="s">
        <v>39</v>
      </c>
      <c r="G128" t="s">
        <v>43</v>
      </c>
      <c r="H128" t="s">
        <v>38</v>
      </c>
      <c r="I128" t="s">
        <v>13</v>
      </c>
      <c r="J128" s="2">
        <f t="shared" si="1"/>
        <v>2000.0494999999999</v>
      </c>
    </row>
    <row r="129" spans="1:10" x14ac:dyDescent="0.25">
      <c r="A129" s="3">
        <v>10537</v>
      </c>
      <c r="B129" s="1">
        <v>44889</v>
      </c>
      <c r="C129" t="s">
        <v>9</v>
      </c>
      <c r="D129" s="2">
        <v>3.49</v>
      </c>
      <c r="E129" s="3">
        <v>630.37</v>
      </c>
      <c r="F129" t="s">
        <v>41</v>
      </c>
      <c r="G129" t="s">
        <v>43</v>
      </c>
      <c r="H129" t="s">
        <v>31</v>
      </c>
      <c r="I129" t="s">
        <v>16</v>
      </c>
      <c r="J129" s="2">
        <f t="shared" si="1"/>
        <v>2199.9913000000001</v>
      </c>
    </row>
    <row r="130" spans="1:10" x14ac:dyDescent="0.25">
      <c r="A130" s="3">
        <v>10538</v>
      </c>
      <c r="B130" s="1">
        <v>44889</v>
      </c>
      <c r="C130" t="s">
        <v>14</v>
      </c>
      <c r="D130" s="2">
        <v>2.95</v>
      </c>
      <c r="E130" s="3">
        <v>745.76</v>
      </c>
      <c r="F130" t="s">
        <v>41</v>
      </c>
      <c r="G130" t="s">
        <v>43</v>
      </c>
      <c r="H130" t="s">
        <v>31</v>
      </c>
      <c r="I130" t="s">
        <v>16</v>
      </c>
      <c r="J130" s="2">
        <f t="shared" si="1"/>
        <v>2199.9920000000002</v>
      </c>
    </row>
    <row r="131" spans="1:10" x14ac:dyDescent="0.25">
      <c r="A131" s="3">
        <v>10539</v>
      </c>
      <c r="B131" s="1">
        <v>44889</v>
      </c>
      <c r="C131" t="s">
        <v>17</v>
      </c>
      <c r="D131" s="2">
        <v>4.99</v>
      </c>
      <c r="E131" s="3">
        <v>200.4</v>
      </c>
      <c r="F131" t="s">
        <v>41</v>
      </c>
      <c r="G131" t="s">
        <v>43</v>
      </c>
      <c r="H131" t="s">
        <v>31</v>
      </c>
      <c r="I131" t="s">
        <v>16</v>
      </c>
      <c r="J131" s="2">
        <f t="shared" ref="J131:J194" si="2">E131*D131</f>
        <v>999.99600000000009</v>
      </c>
    </row>
    <row r="132" spans="1:10" x14ac:dyDescent="0.25">
      <c r="A132" s="3">
        <v>10590</v>
      </c>
      <c r="B132" s="1">
        <v>44900</v>
      </c>
      <c r="C132" t="s">
        <v>21</v>
      </c>
      <c r="D132" s="2">
        <v>12.99</v>
      </c>
      <c r="E132" s="3">
        <v>554.27</v>
      </c>
      <c r="F132" t="s">
        <v>39</v>
      </c>
      <c r="G132" t="s">
        <v>43</v>
      </c>
      <c r="H132" t="s">
        <v>38</v>
      </c>
      <c r="I132" t="s">
        <v>13</v>
      </c>
      <c r="J132" s="2">
        <f t="shared" si="2"/>
        <v>7199.9673000000003</v>
      </c>
    </row>
    <row r="133" spans="1:10" x14ac:dyDescent="0.25">
      <c r="A133" s="3">
        <v>10591</v>
      </c>
      <c r="B133" s="1">
        <v>44900</v>
      </c>
      <c r="C133" t="s">
        <v>25</v>
      </c>
      <c r="D133" s="2">
        <v>9.9499999999999993</v>
      </c>
      <c r="E133" s="3">
        <v>201.01</v>
      </c>
      <c r="F133" t="s">
        <v>39</v>
      </c>
      <c r="G133" t="s">
        <v>43</v>
      </c>
      <c r="H133" t="s">
        <v>38</v>
      </c>
      <c r="I133" t="s">
        <v>13</v>
      </c>
      <c r="J133" s="2">
        <f t="shared" si="2"/>
        <v>2000.0494999999999</v>
      </c>
    </row>
    <row r="134" spans="1:10" x14ac:dyDescent="0.25">
      <c r="A134" s="3">
        <v>10592</v>
      </c>
      <c r="B134" s="1">
        <v>44900</v>
      </c>
      <c r="C134" t="s">
        <v>9</v>
      </c>
      <c r="D134" s="2">
        <v>3.49</v>
      </c>
      <c r="E134" s="3">
        <v>573.07000000000005</v>
      </c>
      <c r="F134" t="s">
        <v>39</v>
      </c>
      <c r="G134" t="s">
        <v>43</v>
      </c>
      <c r="H134" t="s">
        <v>38</v>
      </c>
      <c r="I134" t="s">
        <v>13</v>
      </c>
      <c r="J134" s="2">
        <f t="shared" si="2"/>
        <v>2000.0143000000003</v>
      </c>
    </row>
    <row r="135" spans="1:10" x14ac:dyDescent="0.25">
      <c r="A135" s="3">
        <v>10593</v>
      </c>
      <c r="B135" s="1">
        <v>44900</v>
      </c>
      <c r="C135" t="s">
        <v>14</v>
      </c>
      <c r="D135" s="2">
        <v>2.95</v>
      </c>
      <c r="E135" s="3">
        <v>677.97</v>
      </c>
      <c r="F135" t="s">
        <v>39</v>
      </c>
      <c r="G135" t="s">
        <v>43</v>
      </c>
      <c r="H135" t="s">
        <v>38</v>
      </c>
      <c r="I135" t="s">
        <v>13</v>
      </c>
      <c r="J135" s="2">
        <f t="shared" si="2"/>
        <v>2000.0115000000003</v>
      </c>
    </row>
    <row r="136" spans="1:10" x14ac:dyDescent="0.25">
      <c r="A136" s="3">
        <v>10594</v>
      </c>
      <c r="B136" s="1">
        <v>44900</v>
      </c>
      <c r="C136" t="s">
        <v>17</v>
      </c>
      <c r="D136" s="2">
        <v>4.99</v>
      </c>
      <c r="E136" s="3">
        <v>200.4</v>
      </c>
      <c r="F136" t="s">
        <v>39</v>
      </c>
      <c r="G136" t="s">
        <v>43</v>
      </c>
      <c r="H136" t="s">
        <v>38</v>
      </c>
      <c r="I136" t="s">
        <v>13</v>
      </c>
      <c r="J136" s="2">
        <f t="shared" si="2"/>
        <v>999.99600000000009</v>
      </c>
    </row>
    <row r="137" spans="1:10" x14ac:dyDescent="0.25">
      <c r="A137" s="3">
        <v>10595</v>
      </c>
      <c r="B137" s="1">
        <v>44901</v>
      </c>
      <c r="C137" t="s">
        <v>21</v>
      </c>
      <c r="D137" s="2">
        <v>12.99</v>
      </c>
      <c r="E137" s="3">
        <v>538.88</v>
      </c>
      <c r="F137" t="s">
        <v>39</v>
      </c>
      <c r="G137" t="s">
        <v>43</v>
      </c>
      <c r="H137" t="s">
        <v>38</v>
      </c>
      <c r="I137" t="s">
        <v>13</v>
      </c>
      <c r="J137" s="2">
        <f t="shared" si="2"/>
        <v>7000.0511999999999</v>
      </c>
    </row>
    <row r="138" spans="1:10" x14ac:dyDescent="0.25">
      <c r="A138" s="3">
        <v>10596</v>
      </c>
      <c r="B138" s="1">
        <v>44901</v>
      </c>
      <c r="C138" t="s">
        <v>25</v>
      </c>
      <c r="D138" s="2">
        <v>9.9499999999999993</v>
      </c>
      <c r="E138" s="3">
        <v>201.01</v>
      </c>
      <c r="F138" t="s">
        <v>39</v>
      </c>
      <c r="G138" t="s">
        <v>43</v>
      </c>
      <c r="H138" t="s">
        <v>38</v>
      </c>
      <c r="I138" t="s">
        <v>13</v>
      </c>
      <c r="J138" s="2">
        <f t="shared" si="2"/>
        <v>2000.0494999999999</v>
      </c>
    </row>
    <row r="139" spans="1:10" x14ac:dyDescent="0.25">
      <c r="A139" s="3">
        <v>10597</v>
      </c>
      <c r="B139" s="1">
        <v>44901</v>
      </c>
      <c r="C139" t="s">
        <v>9</v>
      </c>
      <c r="D139" s="2">
        <v>3.49</v>
      </c>
      <c r="E139" s="3">
        <v>573.07000000000005</v>
      </c>
      <c r="F139" t="s">
        <v>39</v>
      </c>
      <c r="G139" t="s">
        <v>43</v>
      </c>
      <c r="H139" t="s">
        <v>38</v>
      </c>
      <c r="I139" t="s">
        <v>13</v>
      </c>
      <c r="J139" s="2">
        <f t="shared" si="2"/>
        <v>2000.0143000000003</v>
      </c>
    </row>
    <row r="140" spans="1:10" x14ac:dyDescent="0.25">
      <c r="A140" s="3">
        <v>10598</v>
      </c>
      <c r="B140" s="1">
        <v>44901</v>
      </c>
      <c r="C140" t="s">
        <v>14</v>
      </c>
      <c r="D140" s="2">
        <v>2.95</v>
      </c>
      <c r="E140" s="3">
        <v>677.97</v>
      </c>
      <c r="F140" t="s">
        <v>39</v>
      </c>
      <c r="G140" t="s">
        <v>43</v>
      </c>
      <c r="H140" t="s">
        <v>38</v>
      </c>
      <c r="I140" t="s">
        <v>13</v>
      </c>
      <c r="J140" s="2">
        <f t="shared" si="2"/>
        <v>2000.0115000000003</v>
      </c>
    </row>
    <row r="141" spans="1:10" x14ac:dyDescent="0.25">
      <c r="A141" s="3">
        <v>10599</v>
      </c>
      <c r="B141" s="1">
        <v>44901</v>
      </c>
      <c r="C141" t="s">
        <v>17</v>
      </c>
      <c r="D141" s="2">
        <v>4.99</v>
      </c>
      <c r="E141" s="3">
        <v>200.4</v>
      </c>
      <c r="F141" t="s">
        <v>39</v>
      </c>
      <c r="G141" t="s">
        <v>43</v>
      </c>
      <c r="H141" t="s">
        <v>38</v>
      </c>
      <c r="I141" t="s">
        <v>13</v>
      </c>
      <c r="J141" s="2">
        <f t="shared" si="2"/>
        <v>999.99600000000009</v>
      </c>
    </row>
    <row r="142" spans="1:10" x14ac:dyDescent="0.25">
      <c r="A142" s="3">
        <v>10600</v>
      </c>
      <c r="B142" s="1">
        <v>44902</v>
      </c>
      <c r="C142" t="s">
        <v>21</v>
      </c>
      <c r="D142" s="2">
        <v>12.99</v>
      </c>
      <c r="E142" s="3">
        <v>523.48</v>
      </c>
      <c r="F142" t="s">
        <v>39</v>
      </c>
      <c r="G142" t="s">
        <v>43</v>
      </c>
      <c r="H142" t="s">
        <v>38</v>
      </c>
      <c r="I142" t="s">
        <v>13</v>
      </c>
      <c r="J142" s="2">
        <f t="shared" si="2"/>
        <v>6800.0052000000005</v>
      </c>
    </row>
    <row r="143" spans="1:10" x14ac:dyDescent="0.25">
      <c r="A143" s="3">
        <v>10601</v>
      </c>
      <c r="B143" s="1">
        <v>44902</v>
      </c>
      <c r="C143" t="s">
        <v>25</v>
      </c>
      <c r="D143" s="2">
        <v>9.9499999999999993</v>
      </c>
      <c r="E143" s="3">
        <v>201.01</v>
      </c>
      <c r="F143" t="s">
        <v>39</v>
      </c>
      <c r="G143" t="s">
        <v>43</v>
      </c>
      <c r="H143" t="s">
        <v>38</v>
      </c>
      <c r="I143" t="s">
        <v>13</v>
      </c>
      <c r="J143" s="2">
        <f t="shared" si="2"/>
        <v>2000.0494999999999</v>
      </c>
    </row>
    <row r="144" spans="1:10" x14ac:dyDescent="0.25">
      <c r="A144" s="3">
        <v>10602</v>
      </c>
      <c r="B144" s="1">
        <v>44902</v>
      </c>
      <c r="C144" t="s">
        <v>9</v>
      </c>
      <c r="D144" s="2">
        <v>3.49</v>
      </c>
      <c r="E144" s="3">
        <v>630.37</v>
      </c>
      <c r="F144" t="s">
        <v>39</v>
      </c>
      <c r="G144" t="s">
        <v>44</v>
      </c>
      <c r="H144" t="s">
        <v>38</v>
      </c>
      <c r="I144" t="s">
        <v>13</v>
      </c>
      <c r="J144" s="2">
        <f t="shared" si="2"/>
        <v>2199.9913000000001</v>
      </c>
    </row>
    <row r="145" spans="1:10" x14ac:dyDescent="0.25">
      <c r="A145" s="3">
        <v>10603</v>
      </c>
      <c r="B145" s="1">
        <v>44902</v>
      </c>
      <c r="C145" t="s">
        <v>14</v>
      </c>
      <c r="D145" s="2">
        <v>2.95</v>
      </c>
      <c r="E145" s="3">
        <v>677.97</v>
      </c>
      <c r="F145" t="s">
        <v>39</v>
      </c>
      <c r="G145" t="s">
        <v>44</v>
      </c>
      <c r="H145" t="s">
        <v>38</v>
      </c>
      <c r="I145" t="s">
        <v>13</v>
      </c>
      <c r="J145" s="2">
        <f t="shared" si="2"/>
        <v>2000.0115000000003</v>
      </c>
    </row>
    <row r="146" spans="1:10" x14ac:dyDescent="0.25">
      <c r="A146" s="3">
        <v>10604</v>
      </c>
      <c r="B146" s="1">
        <v>44902</v>
      </c>
      <c r="C146" t="s">
        <v>17</v>
      </c>
      <c r="D146" s="2">
        <v>4.99</v>
      </c>
      <c r="E146" s="3">
        <v>200.4</v>
      </c>
      <c r="F146" t="s">
        <v>39</v>
      </c>
      <c r="G146" t="s">
        <v>44</v>
      </c>
      <c r="H146" t="s">
        <v>38</v>
      </c>
      <c r="I146" t="s">
        <v>13</v>
      </c>
      <c r="J146" s="2">
        <f t="shared" si="2"/>
        <v>999.99600000000009</v>
      </c>
    </row>
    <row r="147" spans="1:10" x14ac:dyDescent="0.25">
      <c r="A147" s="3">
        <v>10605</v>
      </c>
      <c r="B147" s="1">
        <v>44903</v>
      </c>
      <c r="C147" t="s">
        <v>21</v>
      </c>
      <c r="D147" s="2">
        <v>12.99</v>
      </c>
      <c r="E147" s="3">
        <v>538.88</v>
      </c>
      <c r="F147" t="s">
        <v>39</v>
      </c>
      <c r="G147" t="s">
        <v>44</v>
      </c>
      <c r="H147" t="s">
        <v>38</v>
      </c>
      <c r="I147" t="s">
        <v>13</v>
      </c>
      <c r="J147" s="2">
        <f t="shared" si="2"/>
        <v>7000.0511999999999</v>
      </c>
    </row>
    <row r="148" spans="1:10" x14ac:dyDescent="0.25">
      <c r="A148" s="3">
        <v>10606</v>
      </c>
      <c r="B148" s="1">
        <v>44903</v>
      </c>
      <c r="C148" t="s">
        <v>25</v>
      </c>
      <c r="D148" s="2">
        <v>9.9499999999999993</v>
      </c>
      <c r="E148" s="3">
        <v>201.01</v>
      </c>
      <c r="F148" t="s">
        <v>39</v>
      </c>
      <c r="G148" t="s">
        <v>44</v>
      </c>
      <c r="H148" t="s">
        <v>38</v>
      </c>
      <c r="I148" t="s">
        <v>13</v>
      </c>
      <c r="J148" s="2">
        <f t="shared" si="2"/>
        <v>2000.0494999999999</v>
      </c>
    </row>
    <row r="149" spans="1:10" x14ac:dyDescent="0.25">
      <c r="A149" s="3">
        <v>10607</v>
      </c>
      <c r="B149" s="1">
        <v>44903</v>
      </c>
      <c r="C149" t="s">
        <v>9</v>
      </c>
      <c r="D149" s="2">
        <v>3.49</v>
      </c>
      <c r="E149" s="3">
        <v>630.37</v>
      </c>
      <c r="F149" t="s">
        <v>39</v>
      </c>
      <c r="G149" t="s">
        <v>44</v>
      </c>
      <c r="H149" t="s">
        <v>38</v>
      </c>
      <c r="I149" t="s">
        <v>13</v>
      </c>
      <c r="J149" s="2">
        <f t="shared" si="2"/>
        <v>2199.9913000000001</v>
      </c>
    </row>
    <row r="150" spans="1:10" x14ac:dyDescent="0.25">
      <c r="A150" s="3">
        <v>10608</v>
      </c>
      <c r="B150" s="1">
        <v>44903</v>
      </c>
      <c r="C150" t="s">
        <v>14</v>
      </c>
      <c r="D150" s="2">
        <v>2.95</v>
      </c>
      <c r="E150" s="3">
        <v>677.97</v>
      </c>
      <c r="F150" t="s">
        <v>39</v>
      </c>
      <c r="G150" t="s">
        <v>42</v>
      </c>
      <c r="H150" t="s">
        <v>38</v>
      </c>
      <c r="I150" t="s">
        <v>13</v>
      </c>
      <c r="J150" s="2">
        <f t="shared" si="2"/>
        <v>2000.0115000000003</v>
      </c>
    </row>
    <row r="151" spans="1:10" x14ac:dyDescent="0.25">
      <c r="A151" s="3">
        <v>10609</v>
      </c>
      <c r="B151" s="1">
        <v>44903</v>
      </c>
      <c r="C151" t="s">
        <v>17</v>
      </c>
      <c r="D151" s="2">
        <v>4.99</v>
      </c>
      <c r="E151" s="3">
        <v>200.4</v>
      </c>
      <c r="F151" t="s">
        <v>39</v>
      </c>
      <c r="G151" t="s">
        <v>42</v>
      </c>
      <c r="H151" t="s">
        <v>38</v>
      </c>
      <c r="I151" t="s">
        <v>13</v>
      </c>
      <c r="J151" s="2">
        <f t="shared" si="2"/>
        <v>999.99600000000009</v>
      </c>
    </row>
    <row r="152" spans="1:10" x14ac:dyDescent="0.25">
      <c r="A152" s="3">
        <v>10610</v>
      </c>
      <c r="B152" s="1">
        <v>44904</v>
      </c>
      <c r="C152" t="s">
        <v>21</v>
      </c>
      <c r="D152" s="2">
        <v>12.99</v>
      </c>
      <c r="E152" s="3">
        <v>569.66999999999996</v>
      </c>
      <c r="F152" t="s">
        <v>39</v>
      </c>
      <c r="G152" t="s">
        <v>42</v>
      </c>
      <c r="H152" t="s">
        <v>38</v>
      </c>
      <c r="I152" t="s">
        <v>13</v>
      </c>
      <c r="J152" s="2">
        <f t="shared" si="2"/>
        <v>7400.0132999999996</v>
      </c>
    </row>
    <row r="153" spans="1:10" x14ac:dyDescent="0.25">
      <c r="A153" s="3">
        <v>10611</v>
      </c>
      <c r="B153" s="1">
        <v>44904</v>
      </c>
      <c r="C153" t="s">
        <v>25</v>
      </c>
      <c r="D153" s="2">
        <v>9.9499999999999993</v>
      </c>
      <c r="E153" s="3">
        <v>201.01</v>
      </c>
      <c r="F153" t="s">
        <v>39</v>
      </c>
      <c r="G153" t="s">
        <v>42</v>
      </c>
      <c r="H153" t="s">
        <v>38</v>
      </c>
      <c r="I153" t="s">
        <v>13</v>
      </c>
      <c r="J153" s="2">
        <f t="shared" si="2"/>
        <v>2000.0494999999999</v>
      </c>
    </row>
    <row r="154" spans="1:10" x14ac:dyDescent="0.25">
      <c r="A154" s="3">
        <v>10612</v>
      </c>
      <c r="B154" s="1">
        <v>44904</v>
      </c>
      <c r="C154" t="s">
        <v>9</v>
      </c>
      <c r="D154" s="2">
        <v>3.49</v>
      </c>
      <c r="E154" s="3">
        <v>630.37</v>
      </c>
      <c r="F154" t="s">
        <v>39</v>
      </c>
      <c r="G154" t="s">
        <v>42</v>
      </c>
      <c r="H154" t="s">
        <v>38</v>
      </c>
      <c r="I154" t="s">
        <v>13</v>
      </c>
      <c r="J154" s="2">
        <f t="shared" si="2"/>
        <v>2199.9913000000001</v>
      </c>
    </row>
    <row r="155" spans="1:10" x14ac:dyDescent="0.25">
      <c r="A155" s="3">
        <v>10613</v>
      </c>
      <c r="B155" s="1">
        <v>44904</v>
      </c>
      <c r="C155" t="s">
        <v>14</v>
      </c>
      <c r="D155" s="2">
        <v>2.95</v>
      </c>
      <c r="E155" s="3">
        <v>677.97</v>
      </c>
      <c r="F155" t="s">
        <v>39</v>
      </c>
      <c r="G155" t="s">
        <v>42</v>
      </c>
      <c r="H155" t="s">
        <v>38</v>
      </c>
      <c r="I155" t="s">
        <v>13</v>
      </c>
      <c r="J155" s="2">
        <f t="shared" si="2"/>
        <v>2000.0115000000003</v>
      </c>
    </row>
    <row r="156" spans="1:10" x14ac:dyDescent="0.25">
      <c r="A156" s="3">
        <v>10614</v>
      </c>
      <c r="B156" s="1">
        <v>44904</v>
      </c>
      <c r="C156" t="s">
        <v>17</v>
      </c>
      <c r="D156" s="2">
        <v>4.99</v>
      </c>
      <c r="E156" s="3">
        <v>200.4</v>
      </c>
      <c r="F156" t="s">
        <v>39</v>
      </c>
      <c r="G156" t="s">
        <v>42</v>
      </c>
      <c r="H156" t="s">
        <v>38</v>
      </c>
      <c r="I156" t="s">
        <v>13</v>
      </c>
      <c r="J156" s="2">
        <f t="shared" si="2"/>
        <v>999.99600000000009</v>
      </c>
    </row>
    <row r="157" spans="1:10" x14ac:dyDescent="0.25">
      <c r="A157" s="3">
        <v>10615</v>
      </c>
      <c r="B157" s="1">
        <v>44905</v>
      </c>
      <c r="C157" t="s">
        <v>21</v>
      </c>
      <c r="D157" s="2">
        <v>12.99</v>
      </c>
      <c r="E157" s="3">
        <v>569.66999999999996</v>
      </c>
      <c r="F157" t="s">
        <v>39</v>
      </c>
      <c r="G157" t="s">
        <v>42</v>
      </c>
      <c r="H157" t="s">
        <v>38</v>
      </c>
      <c r="I157" t="s">
        <v>13</v>
      </c>
      <c r="J157" s="2">
        <f t="shared" si="2"/>
        <v>7400.0132999999996</v>
      </c>
    </row>
    <row r="158" spans="1:10" x14ac:dyDescent="0.25">
      <c r="A158" s="3">
        <v>10616</v>
      </c>
      <c r="B158" s="1">
        <v>44905</v>
      </c>
      <c r="C158" t="s">
        <v>25</v>
      </c>
      <c r="D158" s="2">
        <v>9.9499999999999993</v>
      </c>
      <c r="E158" s="3">
        <v>201.01</v>
      </c>
      <c r="F158" t="s">
        <v>39</v>
      </c>
      <c r="G158" t="s">
        <v>42</v>
      </c>
      <c r="H158" t="s">
        <v>38</v>
      </c>
      <c r="I158" t="s">
        <v>13</v>
      </c>
      <c r="J158" s="2">
        <f t="shared" si="2"/>
        <v>2000.0494999999999</v>
      </c>
    </row>
    <row r="159" spans="1:10" x14ac:dyDescent="0.25">
      <c r="A159" s="3">
        <v>10617</v>
      </c>
      <c r="B159" s="1">
        <v>44905</v>
      </c>
      <c r="C159" t="s">
        <v>9</v>
      </c>
      <c r="D159" s="2">
        <v>3.49</v>
      </c>
      <c r="E159" s="3">
        <v>630.37</v>
      </c>
      <c r="F159" t="s">
        <v>39</v>
      </c>
      <c r="G159" t="s">
        <v>42</v>
      </c>
      <c r="H159" t="s">
        <v>38</v>
      </c>
      <c r="I159" t="s">
        <v>13</v>
      </c>
      <c r="J159" s="2">
        <f t="shared" si="2"/>
        <v>2199.9913000000001</v>
      </c>
    </row>
    <row r="160" spans="1:10" x14ac:dyDescent="0.25">
      <c r="A160" s="3">
        <v>10618</v>
      </c>
      <c r="B160" s="1">
        <v>44905</v>
      </c>
      <c r="C160" t="s">
        <v>14</v>
      </c>
      <c r="D160" s="2">
        <v>2.95</v>
      </c>
      <c r="E160" s="3">
        <v>677.97</v>
      </c>
      <c r="F160" t="s">
        <v>39</v>
      </c>
      <c r="G160" t="s">
        <v>42</v>
      </c>
      <c r="H160" t="s">
        <v>38</v>
      </c>
      <c r="I160" t="s">
        <v>13</v>
      </c>
      <c r="J160" s="2">
        <f t="shared" si="2"/>
        <v>2000.0115000000003</v>
      </c>
    </row>
    <row r="161" spans="1:10" x14ac:dyDescent="0.25">
      <c r="A161" s="3">
        <v>10619</v>
      </c>
      <c r="B161" s="1">
        <v>44905</v>
      </c>
      <c r="C161" t="s">
        <v>17</v>
      </c>
      <c r="D161" s="2">
        <v>4.99</v>
      </c>
      <c r="E161" s="3">
        <v>200.4</v>
      </c>
      <c r="F161" t="s">
        <v>39</v>
      </c>
      <c r="G161" t="s">
        <v>42</v>
      </c>
      <c r="H161" t="s">
        <v>38</v>
      </c>
      <c r="I161" t="s">
        <v>13</v>
      </c>
      <c r="J161" s="2">
        <f t="shared" si="2"/>
        <v>999.99600000000009</v>
      </c>
    </row>
    <row r="162" spans="1:10" x14ac:dyDescent="0.25">
      <c r="A162" s="3">
        <v>10620</v>
      </c>
      <c r="B162" s="1">
        <v>44906</v>
      </c>
      <c r="C162" t="s">
        <v>21</v>
      </c>
      <c r="D162" s="2">
        <v>12.99</v>
      </c>
      <c r="E162" s="3">
        <v>585.07000000000005</v>
      </c>
      <c r="F162" t="s">
        <v>39</v>
      </c>
      <c r="G162" t="s">
        <v>42</v>
      </c>
      <c r="H162" t="s">
        <v>38</v>
      </c>
      <c r="I162" t="s">
        <v>13</v>
      </c>
      <c r="J162" s="2">
        <f t="shared" si="2"/>
        <v>7600.0593000000008</v>
      </c>
    </row>
    <row r="163" spans="1:10" x14ac:dyDescent="0.25">
      <c r="A163" s="3">
        <v>10621</v>
      </c>
      <c r="B163" s="1">
        <v>44906</v>
      </c>
      <c r="C163" t="s">
        <v>25</v>
      </c>
      <c r="D163" s="2">
        <v>9.9499999999999993</v>
      </c>
      <c r="E163" s="3">
        <v>201.01</v>
      </c>
      <c r="F163" t="s">
        <v>39</v>
      </c>
      <c r="G163" t="s">
        <v>42</v>
      </c>
      <c r="H163" t="s">
        <v>38</v>
      </c>
      <c r="I163" t="s">
        <v>13</v>
      </c>
      <c r="J163" s="2">
        <f t="shared" si="2"/>
        <v>2000.0494999999999</v>
      </c>
    </row>
    <row r="164" spans="1:10" x14ac:dyDescent="0.25">
      <c r="A164" s="3">
        <v>10622</v>
      </c>
      <c r="B164" s="1">
        <v>44906</v>
      </c>
      <c r="C164" t="s">
        <v>9</v>
      </c>
      <c r="D164" s="2">
        <v>3.49</v>
      </c>
      <c r="E164" s="3">
        <v>630.37</v>
      </c>
      <c r="F164" t="s">
        <v>39</v>
      </c>
      <c r="G164" t="s">
        <v>42</v>
      </c>
      <c r="H164" t="s">
        <v>38</v>
      </c>
      <c r="I164" t="s">
        <v>13</v>
      </c>
      <c r="J164" s="2">
        <f t="shared" si="2"/>
        <v>2199.9913000000001</v>
      </c>
    </row>
    <row r="165" spans="1:10" x14ac:dyDescent="0.25">
      <c r="A165" s="3">
        <v>10623</v>
      </c>
      <c r="B165" s="1">
        <v>44906</v>
      </c>
      <c r="C165" t="s">
        <v>14</v>
      </c>
      <c r="D165" s="2">
        <v>2.95</v>
      </c>
      <c r="E165" s="3">
        <v>745.76</v>
      </c>
      <c r="F165" t="s">
        <v>39</v>
      </c>
      <c r="G165" t="s">
        <v>42</v>
      </c>
      <c r="H165" t="s">
        <v>38</v>
      </c>
      <c r="I165" t="s">
        <v>13</v>
      </c>
      <c r="J165" s="2">
        <f t="shared" si="2"/>
        <v>2199.9920000000002</v>
      </c>
    </row>
    <row r="166" spans="1:10" x14ac:dyDescent="0.25">
      <c r="A166" s="3">
        <v>10624</v>
      </c>
      <c r="B166" s="1">
        <v>44906</v>
      </c>
      <c r="C166" t="s">
        <v>17</v>
      </c>
      <c r="D166" s="2">
        <v>4.99</v>
      </c>
      <c r="E166" s="3">
        <v>200.4</v>
      </c>
      <c r="F166" t="s">
        <v>39</v>
      </c>
      <c r="G166" t="s">
        <v>42</v>
      </c>
      <c r="H166" t="s">
        <v>38</v>
      </c>
      <c r="I166" t="s">
        <v>13</v>
      </c>
      <c r="J166" s="2">
        <f t="shared" si="2"/>
        <v>999.99600000000009</v>
      </c>
    </row>
    <row r="167" spans="1:10" x14ac:dyDescent="0.25">
      <c r="A167" s="3">
        <v>10625</v>
      </c>
      <c r="B167" s="1">
        <v>44907</v>
      </c>
      <c r="C167" t="s">
        <v>21</v>
      </c>
      <c r="D167" s="2">
        <v>12.99</v>
      </c>
      <c r="E167" s="3">
        <v>569.66999999999996</v>
      </c>
      <c r="F167" t="s">
        <v>39</v>
      </c>
      <c r="G167" t="s">
        <v>42</v>
      </c>
      <c r="H167" t="s">
        <v>38</v>
      </c>
      <c r="I167" t="s">
        <v>13</v>
      </c>
      <c r="J167" s="2">
        <f t="shared" si="2"/>
        <v>7400.0132999999996</v>
      </c>
    </row>
    <row r="168" spans="1:10" x14ac:dyDescent="0.25">
      <c r="A168" s="3">
        <v>10626</v>
      </c>
      <c r="B168" s="1">
        <v>44907</v>
      </c>
      <c r="C168" t="s">
        <v>25</v>
      </c>
      <c r="D168" s="2">
        <v>9.9499999999999993</v>
      </c>
      <c r="E168" s="3">
        <v>201.01</v>
      </c>
      <c r="F168" t="s">
        <v>39</v>
      </c>
      <c r="G168" t="s">
        <v>42</v>
      </c>
      <c r="H168" t="s">
        <v>38</v>
      </c>
      <c r="I168" t="s">
        <v>13</v>
      </c>
      <c r="J168" s="2">
        <f t="shared" si="2"/>
        <v>2000.0494999999999</v>
      </c>
    </row>
    <row r="169" spans="1:10" x14ac:dyDescent="0.25">
      <c r="A169" s="3">
        <v>10627</v>
      </c>
      <c r="B169" s="1">
        <v>44907</v>
      </c>
      <c r="C169" t="s">
        <v>9</v>
      </c>
      <c r="D169" s="2">
        <v>3.49</v>
      </c>
      <c r="E169" s="3">
        <v>630.37</v>
      </c>
      <c r="F169" t="s">
        <v>39</v>
      </c>
      <c r="G169" t="s">
        <v>42</v>
      </c>
      <c r="H169" t="s">
        <v>38</v>
      </c>
      <c r="I169" t="s">
        <v>13</v>
      </c>
      <c r="J169" s="2">
        <f t="shared" si="2"/>
        <v>2199.9913000000001</v>
      </c>
    </row>
    <row r="170" spans="1:10" x14ac:dyDescent="0.25">
      <c r="A170" s="3">
        <v>10628</v>
      </c>
      <c r="B170" s="1">
        <v>44907</v>
      </c>
      <c r="C170" t="s">
        <v>14</v>
      </c>
      <c r="D170" s="2">
        <v>2.95</v>
      </c>
      <c r="E170" s="3">
        <v>677.97</v>
      </c>
      <c r="F170" t="s">
        <v>39</v>
      </c>
      <c r="G170" t="s">
        <v>42</v>
      </c>
      <c r="H170" t="s">
        <v>35</v>
      </c>
      <c r="I170" t="s">
        <v>20</v>
      </c>
      <c r="J170" s="2">
        <f t="shared" si="2"/>
        <v>2000.0115000000003</v>
      </c>
    </row>
    <row r="171" spans="1:10" x14ac:dyDescent="0.25">
      <c r="A171" s="3">
        <v>10629</v>
      </c>
      <c r="B171" s="1">
        <v>44907</v>
      </c>
      <c r="C171" t="s">
        <v>17</v>
      </c>
      <c r="D171" s="2">
        <v>4.99</v>
      </c>
      <c r="E171" s="3">
        <v>200.4</v>
      </c>
      <c r="F171" t="s">
        <v>39</v>
      </c>
      <c r="G171" t="s">
        <v>42</v>
      </c>
      <c r="H171" t="s">
        <v>35</v>
      </c>
      <c r="I171" t="s">
        <v>20</v>
      </c>
      <c r="J171" s="2">
        <f t="shared" si="2"/>
        <v>999.99600000000009</v>
      </c>
    </row>
    <row r="172" spans="1:10" x14ac:dyDescent="0.25">
      <c r="A172" s="3">
        <v>10630</v>
      </c>
      <c r="B172" s="1">
        <v>44908</v>
      </c>
      <c r="C172" t="s">
        <v>21</v>
      </c>
      <c r="D172" s="2">
        <v>12.99</v>
      </c>
      <c r="E172" s="3">
        <v>569.66999999999996</v>
      </c>
      <c r="F172" t="s">
        <v>39</v>
      </c>
      <c r="G172" t="s">
        <v>44</v>
      </c>
      <c r="H172" t="s">
        <v>35</v>
      </c>
      <c r="I172" t="s">
        <v>20</v>
      </c>
      <c r="J172" s="2">
        <f t="shared" si="2"/>
        <v>7400.0132999999996</v>
      </c>
    </row>
    <row r="173" spans="1:10" x14ac:dyDescent="0.25">
      <c r="A173" s="3">
        <v>10631</v>
      </c>
      <c r="B173" s="1">
        <v>44908</v>
      </c>
      <c r="C173" t="s">
        <v>25</v>
      </c>
      <c r="D173" s="2">
        <v>9.9499999999999993</v>
      </c>
      <c r="E173" s="3">
        <v>201.01</v>
      </c>
      <c r="F173" t="s">
        <v>39</v>
      </c>
      <c r="G173" t="s">
        <v>42</v>
      </c>
      <c r="H173" t="s">
        <v>35</v>
      </c>
      <c r="I173" t="s">
        <v>20</v>
      </c>
      <c r="J173" s="2">
        <f t="shared" si="2"/>
        <v>2000.0494999999999</v>
      </c>
    </row>
    <row r="174" spans="1:10" x14ac:dyDescent="0.25">
      <c r="A174" s="3">
        <v>10632</v>
      </c>
      <c r="B174" s="1">
        <v>44908</v>
      </c>
      <c r="C174" t="s">
        <v>9</v>
      </c>
      <c r="D174" s="2">
        <v>3.49</v>
      </c>
      <c r="E174" s="3">
        <v>630.37</v>
      </c>
      <c r="F174" t="s">
        <v>39</v>
      </c>
      <c r="G174" t="s">
        <v>42</v>
      </c>
      <c r="H174" t="s">
        <v>35</v>
      </c>
      <c r="I174" t="s">
        <v>20</v>
      </c>
      <c r="J174" s="2">
        <f t="shared" si="2"/>
        <v>2199.9913000000001</v>
      </c>
    </row>
    <row r="175" spans="1:10" x14ac:dyDescent="0.25">
      <c r="A175" s="3">
        <v>10633</v>
      </c>
      <c r="B175" s="1">
        <v>44908</v>
      </c>
      <c r="C175" t="s">
        <v>14</v>
      </c>
      <c r="D175" s="2">
        <v>2.95</v>
      </c>
      <c r="E175" s="3">
        <v>677.97</v>
      </c>
      <c r="F175" t="s">
        <v>39</v>
      </c>
      <c r="G175" t="s">
        <v>42</v>
      </c>
      <c r="H175" t="s">
        <v>35</v>
      </c>
      <c r="I175" t="s">
        <v>20</v>
      </c>
      <c r="J175" s="2">
        <f t="shared" si="2"/>
        <v>2000.0115000000003</v>
      </c>
    </row>
    <row r="176" spans="1:10" x14ac:dyDescent="0.25">
      <c r="A176" s="3">
        <v>10634</v>
      </c>
      <c r="B176" s="1">
        <v>44908</v>
      </c>
      <c r="C176" t="s">
        <v>17</v>
      </c>
      <c r="D176" s="2">
        <v>4.99</v>
      </c>
      <c r="E176" s="3">
        <v>200.4</v>
      </c>
      <c r="F176" t="s">
        <v>39</v>
      </c>
      <c r="G176" t="s">
        <v>42</v>
      </c>
      <c r="H176" t="s">
        <v>35</v>
      </c>
      <c r="I176" t="s">
        <v>20</v>
      </c>
      <c r="J176" s="2">
        <f t="shared" si="2"/>
        <v>999.99600000000009</v>
      </c>
    </row>
    <row r="177" spans="1:10" x14ac:dyDescent="0.25">
      <c r="A177" s="3">
        <v>10635</v>
      </c>
      <c r="B177" s="1">
        <v>44909</v>
      </c>
      <c r="C177" t="s">
        <v>21</v>
      </c>
      <c r="D177" s="2">
        <v>12.99</v>
      </c>
      <c r="E177" s="3">
        <v>554.27</v>
      </c>
      <c r="F177" t="s">
        <v>39</v>
      </c>
      <c r="G177" t="s">
        <v>42</v>
      </c>
      <c r="H177" t="s">
        <v>35</v>
      </c>
      <c r="I177" t="s">
        <v>20</v>
      </c>
      <c r="J177" s="2">
        <f t="shared" si="2"/>
        <v>7199.9673000000003</v>
      </c>
    </row>
    <row r="178" spans="1:10" x14ac:dyDescent="0.25">
      <c r="A178" s="3">
        <v>10636</v>
      </c>
      <c r="B178" s="1">
        <v>44909</v>
      </c>
      <c r="C178" t="s">
        <v>25</v>
      </c>
      <c r="D178" s="2">
        <v>9.9499999999999993</v>
      </c>
      <c r="E178" s="3">
        <v>221.11</v>
      </c>
      <c r="F178" t="s">
        <v>39</v>
      </c>
      <c r="G178" t="s">
        <v>42</v>
      </c>
      <c r="H178" t="s">
        <v>35</v>
      </c>
      <c r="I178" t="s">
        <v>20</v>
      </c>
      <c r="J178" s="2">
        <f t="shared" si="2"/>
        <v>2200.0445</v>
      </c>
    </row>
    <row r="179" spans="1:10" x14ac:dyDescent="0.25">
      <c r="A179" s="3">
        <v>10637</v>
      </c>
      <c r="B179" s="1">
        <v>44909</v>
      </c>
      <c r="C179" t="s">
        <v>9</v>
      </c>
      <c r="D179" s="2">
        <v>3.49</v>
      </c>
      <c r="E179" s="3">
        <v>630.37</v>
      </c>
      <c r="F179" t="s">
        <v>39</v>
      </c>
      <c r="G179" t="s">
        <v>42</v>
      </c>
      <c r="H179" t="s">
        <v>35</v>
      </c>
      <c r="I179" t="s">
        <v>20</v>
      </c>
      <c r="J179" s="2">
        <f t="shared" si="2"/>
        <v>2199.9913000000001</v>
      </c>
    </row>
    <row r="180" spans="1:10" x14ac:dyDescent="0.25">
      <c r="A180" s="3">
        <v>10638</v>
      </c>
      <c r="B180" s="1">
        <v>44909</v>
      </c>
      <c r="C180" t="s">
        <v>14</v>
      </c>
      <c r="D180" s="2">
        <v>2.95</v>
      </c>
      <c r="E180" s="3">
        <v>677.97</v>
      </c>
      <c r="F180" t="s">
        <v>39</v>
      </c>
      <c r="G180" t="s">
        <v>42</v>
      </c>
      <c r="H180" t="s">
        <v>35</v>
      </c>
      <c r="I180" t="s">
        <v>20</v>
      </c>
      <c r="J180" s="2">
        <f t="shared" si="2"/>
        <v>2000.0115000000003</v>
      </c>
    </row>
    <row r="181" spans="1:10" x14ac:dyDescent="0.25">
      <c r="A181" s="3">
        <v>10639</v>
      </c>
      <c r="B181" s="1">
        <v>44909</v>
      </c>
      <c r="C181" t="s">
        <v>17</v>
      </c>
      <c r="D181" s="2">
        <v>4.99</v>
      </c>
      <c r="E181" s="3">
        <v>200.4</v>
      </c>
      <c r="F181" t="s">
        <v>39</v>
      </c>
      <c r="G181" t="s">
        <v>42</v>
      </c>
      <c r="H181" t="s">
        <v>35</v>
      </c>
      <c r="I181" t="s">
        <v>20</v>
      </c>
      <c r="J181" s="2">
        <f t="shared" si="2"/>
        <v>999.99600000000009</v>
      </c>
    </row>
    <row r="182" spans="1:10" x14ac:dyDescent="0.25">
      <c r="A182" s="3">
        <v>10640</v>
      </c>
      <c r="B182" s="1">
        <v>44910</v>
      </c>
      <c r="C182" t="s">
        <v>21</v>
      </c>
      <c r="D182" s="2">
        <v>12.99</v>
      </c>
      <c r="E182" s="3">
        <v>538.88</v>
      </c>
      <c r="F182" t="s">
        <v>39</v>
      </c>
      <c r="G182" t="s">
        <v>42</v>
      </c>
      <c r="H182" t="s">
        <v>35</v>
      </c>
      <c r="I182" t="s">
        <v>20</v>
      </c>
      <c r="J182" s="2">
        <f t="shared" si="2"/>
        <v>7000.0511999999999</v>
      </c>
    </row>
    <row r="183" spans="1:10" x14ac:dyDescent="0.25">
      <c r="A183" s="3">
        <v>10641</v>
      </c>
      <c r="B183" s="1">
        <v>44910</v>
      </c>
      <c r="C183" t="s">
        <v>25</v>
      </c>
      <c r="D183" s="2">
        <v>9.9499999999999993</v>
      </c>
      <c r="E183" s="3">
        <v>221.11</v>
      </c>
      <c r="F183" t="s">
        <v>39</v>
      </c>
      <c r="G183" t="s">
        <v>42</v>
      </c>
      <c r="H183" t="s">
        <v>35</v>
      </c>
      <c r="I183" t="s">
        <v>20</v>
      </c>
      <c r="J183" s="2">
        <f t="shared" si="2"/>
        <v>2200.0445</v>
      </c>
    </row>
    <row r="184" spans="1:10" x14ac:dyDescent="0.25">
      <c r="A184" s="3">
        <v>10642</v>
      </c>
      <c r="B184" s="1">
        <v>44910</v>
      </c>
      <c r="C184" t="s">
        <v>9</v>
      </c>
      <c r="D184" s="2">
        <v>3.49</v>
      </c>
      <c r="E184" s="3">
        <v>630.37</v>
      </c>
      <c r="F184" t="s">
        <v>39</v>
      </c>
      <c r="G184" t="s">
        <v>44</v>
      </c>
      <c r="H184" t="s">
        <v>35</v>
      </c>
      <c r="I184" t="s">
        <v>20</v>
      </c>
      <c r="J184" s="2">
        <f t="shared" si="2"/>
        <v>2199.9913000000001</v>
      </c>
    </row>
    <row r="185" spans="1:10" x14ac:dyDescent="0.25">
      <c r="A185" s="3">
        <v>10643</v>
      </c>
      <c r="B185" s="1">
        <v>44910</v>
      </c>
      <c r="C185" t="s">
        <v>14</v>
      </c>
      <c r="D185" s="2">
        <v>2.95</v>
      </c>
      <c r="E185" s="3">
        <v>677.97</v>
      </c>
      <c r="F185" t="s">
        <v>39</v>
      </c>
      <c r="G185" t="s">
        <v>44</v>
      </c>
      <c r="H185" t="s">
        <v>35</v>
      </c>
      <c r="I185" t="s">
        <v>20</v>
      </c>
      <c r="J185" s="2">
        <f t="shared" si="2"/>
        <v>2000.0115000000003</v>
      </c>
    </row>
    <row r="186" spans="1:10" x14ac:dyDescent="0.25">
      <c r="A186" s="3">
        <v>10644</v>
      </c>
      <c r="B186" s="1">
        <v>44910</v>
      </c>
      <c r="C186" t="s">
        <v>17</v>
      </c>
      <c r="D186" s="2">
        <v>4.99</v>
      </c>
      <c r="E186" s="3">
        <v>200.4</v>
      </c>
      <c r="F186" t="s">
        <v>39</v>
      </c>
      <c r="G186" t="s">
        <v>44</v>
      </c>
      <c r="H186" t="s">
        <v>35</v>
      </c>
      <c r="I186" t="s">
        <v>20</v>
      </c>
      <c r="J186" s="2">
        <f t="shared" si="2"/>
        <v>999.99600000000009</v>
      </c>
    </row>
    <row r="187" spans="1:10" x14ac:dyDescent="0.25">
      <c r="A187" s="3">
        <v>10645</v>
      </c>
      <c r="B187" s="1">
        <v>44911</v>
      </c>
      <c r="C187" t="s">
        <v>21</v>
      </c>
      <c r="D187" s="2">
        <v>12.99</v>
      </c>
      <c r="E187" s="3">
        <v>569.66999999999996</v>
      </c>
      <c r="F187" t="s">
        <v>39</v>
      </c>
      <c r="G187" t="s">
        <v>44</v>
      </c>
      <c r="H187" t="s">
        <v>35</v>
      </c>
      <c r="I187" t="s">
        <v>20</v>
      </c>
      <c r="J187" s="2">
        <f t="shared" si="2"/>
        <v>7400.0132999999996</v>
      </c>
    </row>
    <row r="188" spans="1:10" x14ac:dyDescent="0.25">
      <c r="A188" s="3">
        <v>10646</v>
      </c>
      <c r="B188" s="1">
        <v>44911</v>
      </c>
      <c r="C188" t="s">
        <v>25</v>
      </c>
      <c r="D188" s="2">
        <v>9.9499999999999993</v>
      </c>
      <c r="E188" s="3">
        <v>221.11</v>
      </c>
      <c r="F188" t="s">
        <v>39</v>
      </c>
      <c r="G188" t="s">
        <v>44</v>
      </c>
      <c r="H188" t="s">
        <v>35</v>
      </c>
      <c r="I188" t="s">
        <v>20</v>
      </c>
      <c r="J188" s="2">
        <f t="shared" si="2"/>
        <v>2200.0445</v>
      </c>
    </row>
    <row r="189" spans="1:10" x14ac:dyDescent="0.25">
      <c r="A189" s="3">
        <v>10647</v>
      </c>
      <c r="B189" s="1">
        <v>44911</v>
      </c>
      <c r="C189" t="s">
        <v>9</v>
      </c>
      <c r="D189" s="2">
        <v>3.49</v>
      </c>
      <c r="E189" s="3">
        <v>630.37</v>
      </c>
      <c r="F189" t="s">
        <v>39</v>
      </c>
      <c r="G189" t="s">
        <v>42</v>
      </c>
      <c r="H189" t="s">
        <v>35</v>
      </c>
      <c r="I189" t="s">
        <v>20</v>
      </c>
      <c r="J189" s="2">
        <f t="shared" si="2"/>
        <v>2199.9913000000001</v>
      </c>
    </row>
    <row r="190" spans="1:10" x14ac:dyDescent="0.25">
      <c r="A190" s="3">
        <v>10648</v>
      </c>
      <c r="B190" s="1">
        <v>44911</v>
      </c>
      <c r="C190" t="s">
        <v>14</v>
      </c>
      <c r="D190" s="2">
        <v>2.95</v>
      </c>
      <c r="E190" s="3">
        <v>745.76</v>
      </c>
      <c r="F190" t="s">
        <v>39</v>
      </c>
      <c r="G190" t="s">
        <v>42</v>
      </c>
      <c r="H190" t="s">
        <v>35</v>
      </c>
      <c r="I190" t="s">
        <v>20</v>
      </c>
      <c r="J190" s="2">
        <f t="shared" si="2"/>
        <v>2199.9920000000002</v>
      </c>
    </row>
    <row r="191" spans="1:10" x14ac:dyDescent="0.25">
      <c r="A191" s="3">
        <v>10649</v>
      </c>
      <c r="B191" s="1">
        <v>44911</v>
      </c>
      <c r="C191" t="s">
        <v>17</v>
      </c>
      <c r="D191" s="2">
        <v>4.99</v>
      </c>
      <c r="E191" s="3">
        <v>200.4</v>
      </c>
      <c r="F191" t="s">
        <v>39</v>
      </c>
      <c r="G191" t="s">
        <v>42</v>
      </c>
      <c r="H191" t="s">
        <v>35</v>
      </c>
      <c r="I191" t="s">
        <v>20</v>
      </c>
      <c r="J191" s="2">
        <f t="shared" si="2"/>
        <v>999.99600000000009</v>
      </c>
    </row>
    <row r="192" spans="1:10" x14ac:dyDescent="0.25">
      <c r="A192" s="3">
        <v>10650</v>
      </c>
      <c r="B192" s="1">
        <v>44912</v>
      </c>
      <c r="C192" t="s">
        <v>21</v>
      </c>
      <c r="D192" s="2">
        <v>12.99</v>
      </c>
      <c r="E192" s="3">
        <v>585.07000000000005</v>
      </c>
      <c r="F192" t="s">
        <v>39</v>
      </c>
      <c r="G192" t="s">
        <v>42</v>
      </c>
      <c r="H192" t="s">
        <v>35</v>
      </c>
      <c r="I192" t="s">
        <v>20</v>
      </c>
      <c r="J192" s="2">
        <f t="shared" si="2"/>
        <v>7600.0593000000008</v>
      </c>
    </row>
    <row r="193" spans="1:10" x14ac:dyDescent="0.25">
      <c r="A193" s="3">
        <v>10651</v>
      </c>
      <c r="B193" s="1">
        <v>44912</v>
      </c>
      <c r="C193" t="s">
        <v>25</v>
      </c>
      <c r="D193" s="2">
        <v>9.9499999999999993</v>
      </c>
      <c r="E193" s="3">
        <v>221.11</v>
      </c>
      <c r="F193" t="s">
        <v>39</v>
      </c>
      <c r="G193" t="s">
        <v>42</v>
      </c>
      <c r="H193" t="s">
        <v>35</v>
      </c>
      <c r="I193" t="s">
        <v>20</v>
      </c>
      <c r="J193" s="2">
        <f t="shared" si="2"/>
        <v>2200.0445</v>
      </c>
    </row>
    <row r="194" spans="1:10" x14ac:dyDescent="0.25">
      <c r="A194" s="3">
        <v>10652</v>
      </c>
      <c r="B194" s="1">
        <v>44912</v>
      </c>
      <c r="C194" t="s">
        <v>9</v>
      </c>
      <c r="D194" s="2">
        <v>3.49</v>
      </c>
      <c r="E194" s="3">
        <v>687.68</v>
      </c>
      <c r="F194" t="s">
        <v>39</v>
      </c>
      <c r="G194" t="s">
        <v>42</v>
      </c>
      <c r="H194" t="s">
        <v>35</v>
      </c>
      <c r="I194" t="s">
        <v>20</v>
      </c>
      <c r="J194" s="2">
        <f t="shared" si="2"/>
        <v>2400.0032000000001</v>
      </c>
    </row>
    <row r="195" spans="1:10" x14ac:dyDescent="0.25">
      <c r="A195" s="3">
        <v>10653</v>
      </c>
      <c r="B195" s="1">
        <v>44912</v>
      </c>
      <c r="C195" t="s">
        <v>14</v>
      </c>
      <c r="D195" s="2">
        <v>2.95</v>
      </c>
      <c r="E195" s="3">
        <v>745.76</v>
      </c>
      <c r="F195" t="s">
        <v>39</v>
      </c>
      <c r="G195" t="s">
        <v>42</v>
      </c>
      <c r="H195" t="s">
        <v>35</v>
      </c>
      <c r="I195" t="s">
        <v>20</v>
      </c>
      <c r="J195" s="2">
        <f t="shared" ref="J195:J255" si="3">E195*D195</f>
        <v>2199.9920000000002</v>
      </c>
    </row>
    <row r="196" spans="1:10" x14ac:dyDescent="0.25">
      <c r="A196" s="3">
        <v>10654</v>
      </c>
      <c r="B196" s="1">
        <v>44912</v>
      </c>
      <c r="C196" t="s">
        <v>17</v>
      </c>
      <c r="D196" s="2">
        <v>4.99</v>
      </c>
      <c r="E196" s="3">
        <v>200.4</v>
      </c>
      <c r="F196" t="s">
        <v>39</v>
      </c>
      <c r="G196" t="s">
        <v>42</v>
      </c>
      <c r="H196" t="s">
        <v>35</v>
      </c>
      <c r="I196" t="s">
        <v>20</v>
      </c>
      <c r="J196" s="2">
        <f t="shared" si="3"/>
        <v>999.99600000000009</v>
      </c>
    </row>
    <row r="197" spans="1:10" x14ac:dyDescent="0.25">
      <c r="A197" s="3">
        <v>10655</v>
      </c>
      <c r="B197" s="1">
        <v>44913</v>
      </c>
      <c r="C197" t="s">
        <v>21</v>
      </c>
      <c r="D197" s="2">
        <v>12.99</v>
      </c>
      <c r="E197" s="3">
        <v>600.46</v>
      </c>
      <c r="F197" t="s">
        <v>39</v>
      </c>
      <c r="G197" t="s">
        <v>42</v>
      </c>
      <c r="H197" t="s">
        <v>35</v>
      </c>
      <c r="I197" t="s">
        <v>20</v>
      </c>
      <c r="J197" s="2">
        <f t="shared" si="3"/>
        <v>7799.9754000000003</v>
      </c>
    </row>
    <row r="198" spans="1:10" x14ac:dyDescent="0.25">
      <c r="A198" s="3">
        <v>10656</v>
      </c>
      <c r="B198" s="1">
        <v>44913</v>
      </c>
      <c r="C198" t="s">
        <v>25</v>
      </c>
      <c r="D198" s="2">
        <v>9.9499999999999993</v>
      </c>
      <c r="E198" s="3">
        <v>221.11</v>
      </c>
      <c r="F198" t="s">
        <v>39</v>
      </c>
      <c r="G198" t="s">
        <v>42</v>
      </c>
      <c r="H198" t="s">
        <v>35</v>
      </c>
      <c r="I198" t="s">
        <v>20</v>
      </c>
      <c r="J198" s="2">
        <f t="shared" si="3"/>
        <v>2200.0445</v>
      </c>
    </row>
    <row r="199" spans="1:10" x14ac:dyDescent="0.25">
      <c r="A199" s="3">
        <v>10657</v>
      </c>
      <c r="B199" s="1">
        <v>44913</v>
      </c>
      <c r="C199" t="s">
        <v>9</v>
      </c>
      <c r="D199" s="2">
        <v>3.49</v>
      </c>
      <c r="E199" s="3">
        <v>687.68</v>
      </c>
      <c r="F199" t="s">
        <v>39</v>
      </c>
      <c r="G199" t="s">
        <v>42</v>
      </c>
      <c r="H199" t="s">
        <v>35</v>
      </c>
      <c r="I199" t="s">
        <v>20</v>
      </c>
      <c r="J199" s="2">
        <f t="shared" si="3"/>
        <v>2400.0032000000001</v>
      </c>
    </row>
    <row r="200" spans="1:10" x14ac:dyDescent="0.25">
      <c r="A200" s="3">
        <v>10658</v>
      </c>
      <c r="B200" s="1">
        <v>44913</v>
      </c>
      <c r="C200" t="s">
        <v>14</v>
      </c>
      <c r="D200" s="2">
        <v>2.95</v>
      </c>
      <c r="E200" s="3">
        <v>745.76</v>
      </c>
      <c r="F200" t="s">
        <v>39</v>
      </c>
      <c r="G200" t="s">
        <v>44</v>
      </c>
      <c r="H200" t="s">
        <v>35</v>
      </c>
      <c r="I200" t="s">
        <v>20</v>
      </c>
      <c r="J200" s="2">
        <f t="shared" si="3"/>
        <v>2199.9920000000002</v>
      </c>
    </row>
    <row r="201" spans="1:10" x14ac:dyDescent="0.25">
      <c r="A201" s="3">
        <v>10659</v>
      </c>
      <c r="B201" s="1">
        <v>44913</v>
      </c>
      <c r="C201" t="s">
        <v>17</v>
      </c>
      <c r="D201" s="2">
        <v>4.99</v>
      </c>
      <c r="E201" s="3">
        <v>200.4</v>
      </c>
      <c r="F201" t="s">
        <v>39</v>
      </c>
      <c r="G201" t="s">
        <v>44</v>
      </c>
      <c r="H201" t="s">
        <v>35</v>
      </c>
      <c r="I201" t="s">
        <v>20</v>
      </c>
      <c r="J201" s="2">
        <f t="shared" si="3"/>
        <v>999.99600000000009</v>
      </c>
    </row>
    <row r="202" spans="1:10" x14ac:dyDescent="0.25">
      <c r="A202" s="3">
        <v>10660</v>
      </c>
      <c r="B202" s="1">
        <v>44914</v>
      </c>
      <c r="C202" t="s">
        <v>21</v>
      </c>
      <c r="D202" s="2">
        <v>12.99</v>
      </c>
      <c r="E202" s="3">
        <v>631.25</v>
      </c>
      <c r="F202" t="s">
        <v>40</v>
      </c>
      <c r="G202" t="s">
        <v>44</v>
      </c>
      <c r="H202" t="s">
        <v>35</v>
      </c>
      <c r="I202" t="s">
        <v>20</v>
      </c>
      <c r="J202" s="2">
        <f t="shared" si="3"/>
        <v>8199.9375</v>
      </c>
    </row>
    <row r="203" spans="1:10" x14ac:dyDescent="0.25">
      <c r="A203" s="3">
        <v>10661</v>
      </c>
      <c r="B203" s="1">
        <v>44914</v>
      </c>
      <c r="C203" t="s">
        <v>25</v>
      </c>
      <c r="D203" s="2">
        <v>9.9499999999999993</v>
      </c>
      <c r="E203" s="3">
        <v>221.11</v>
      </c>
      <c r="F203" t="s">
        <v>40</v>
      </c>
      <c r="G203" t="s">
        <v>44</v>
      </c>
      <c r="H203" t="s">
        <v>35</v>
      </c>
      <c r="I203" t="s">
        <v>20</v>
      </c>
      <c r="J203" s="2">
        <f t="shared" si="3"/>
        <v>2200.0445</v>
      </c>
    </row>
    <row r="204" spans="1:10" x14ac:dyDescent="0.25">
      <c r="A204" s="3">
        <v>10662</v>
      </c>
      <c r="B204" s="1">
        <v>44914</v>
      </c>
      <c r="C204" t="s">
        <v>9</v>
      </c>
      <c r="D204" s="2">
        <v>3.49</v>
      </c>
      <c r="E204" s="3">
        <v>630.37</v>
      </c>
      <c r="F204" t="s">
        <v>40</v>
      </c>
      <c r="G204" t="s">
        <v>44</v>
      </c>
      <c r="H204" t="s">
        <v>35</v>
      </c>
      <c r="I204" t="s">
        <v>20</v>
      </c>
      <c r="J204" s="2">
        <f t="shared" si="3"/>
        <v>2199.9913000000001</v>
      </c>
    </row>
    <row r="205" spans="1:10" x14ac:dyDescent="0.25">
      <c r="A205" s="3">
        <v>10663</v>
      </c>
      <c r="B205" s="1">
        <v>44914</v>
      </c>
      <c r="C205" t="s">
        <v>14</v>
      </c>
      <c r="D205" s="2">
        <v>2.95</v>
      </c>
      <c r="E205" s="3">
        <v>745.76</v>
      </c>
      <c r="F205" t="s">
        <v>40</v>
      </c>
      <c r="G205" t="s">
        <v>44</v>
      </c>
      <c r="H205" t="s">
        <v>35</v>
      </c>
      <c r="I205" t="s">
        <v>20</v>
      </c>
      <c r="J205" s="2">
        <f t="shared" si="3"/>
        <v>2199.9920000000002</v>
      </c>
    </row>
    <row r="206" spans="1:10" x14ac:dyDescent="0.25">
      <c r="A206" s="3">
        <v>10664</v>
      </c>
      <c r="B206" s="1">
        <v>44914</v>
      </c>
      <c r="C206" t="s">
        <v>17</v>
      </c>
      <c r="D206" s="2">
        <v>4.99</v>
      </c>
      <c r="E206" s="3">
        <v>200.4</v>
      </c>
      <c r="F206" t="s">
        <v>40</v>
      </c>
      <c r="G206" t="s">
        <v>44</v>
      </c>
      <c r="H206" t="s">
        <v>35</v>
      </c>
      <c r="I206" t="s">
        <v>20</v>
      </c>
      <c r="J206" s="2">
        <f t="shared" si="3"/>
        <v>999.99600000000009</v>
      </c>
    </row>
    <row r="207" spans="1:10" x14ac:dyDescent="0.25">
      <c r="A207" s="3">
        <v>10665</v>
      </c>
      <c r="B207" s="1">
        <v>44915</v>
      </c>
      <c r="C207" t="s">
        <v>21</v>
      </c>
      <c r="D207" s="2">
        <v>12.99</v>
      </c>
      <c r="E207" s="3">
        <v>646.65</v>
      </c>
      <c r="F207" t="s">
        <v>40</v>
      </c>
      <c r="G207" t="s">
        <v>44</v>
      </c>
      <c r="H207" t="s">
        <v>35</v>
      </c>
      <c r="I207" t="s">
        <v>20</v>
      </c>
      <c r="J207" s="2">
        <f t="shared" si="3"/>
        <v>8399.9835000000003</v>
      </c>
    </row>
    <row r="208" spans="1:10" x14ac:dyDescent="0.25">
      <c r="A208" s="3">
        <v>10666</v>
      </c>
      <c r="B208" s="1">
        <v>44915</v>
      </c>
      <c r="C208" t="s">
        <v>25</v>
      </c>
      <c r="D208" s="2">
        <v>9.9499999999999993</v>
      </c>
      <c r="E208" s="3">
        <v>221.11</v>
      </c>
      <c r="F208" t="s">
        <v>40</v>
      </c>
      <c r="G208" t="s">
        <v>44</v>
      </c>
      <c r="H208" t="s">
        <v>35</v>
      </c>
      <c r="I208" t="s">
        <v>20</v>
      </c>
      <c r="J208" s="2">
        <f t="shared" si="3"/>
        <v>2200.0445</v>
      </c>
    </row>
    <row r="209" spans="1:10" x14ac:dyDescent="0.25">
      <c r="A209" s="3">
        <v>10667</v>
      </c>
      <c r="B209" s="1">
        <v>44915</v>
      </c>
      <c r="C209" t="s">
        <v>9</v>
      </c>
      <c r="D209" s="2">
        <v>3.49</v>
      </c>
      <c r="E209" s="3">
        <v>630.37</v>
      </c>
      <c r="F209" t="s">
        <v>40</v>
      </c>
      <c r="G209" t="s">
        <v>44</v>
      </c>
      <c r="H209" t="s">
        <v>35</v>
      </c>
      <c r="I209" t="s">
        <v>20</v>
      </c>
      <c r="J209" s="2">
        <f t="shared" si="3"/>
        <v>2199.9913000000001</v>
      </c>
    </row>
    <row r="210" spans="1:10" x14ac:dyDescent="0.25">
      <c r="A210" s="3">
        <v>10668</v>
      </c>
      <c r="B210" s="1">
        <v>44915</v>
      </c>
      <c r="C210" t="s">
        <v>14</v>
      </c>
      <c r="D210" s="2">
        <v>2.95</v>
      </c>
      <c r="E210" s="3">
        <v>745.76</v>
      </c>
      <c r="F210" t="s">
        <v>40</v>
      </c>
      <c r="G210" t="s">
        <v>44</v>
      </c>
      <c r="H210" t="s">
        <v>35</v>
      </c>
      <c r="I210" t="s">
        <v>20</v>
      </c>
      <c r="J210" s="2">
        <f t="shared" si="3"/>
        <v>2199.9920000000002</v>
      </c>
    </row>
    <row r="211" spans="1:10" x14ac:dyDescent="0.25">
      <c r="A211" s="3">
        <v>10669</v>
      </c>
      <c r="B211" s="1">
        <v>44915</v>
      </c>
      <c r="C211" t="s">
        <v>17</v>
      </c>
      <c r="D211" s="2">
        <v>4.99</v>
      </c>
      <c r="E211" s="3">
        <v>200.4</v>
      </c>
      <c r="F211" t="s">
        <v>40</v>
      </c>
      <c r="G211" t="s">
        <v>44</v>
      </c>
      <c r="H211" t="s">
        <v>35</v>
      </c>
      <c r="I211" t="s">
        <v>20</v>
      </c>
      <c r="J211" s="2">
        <f t="shared" si="3"/>
        <v>999.99600000000009</v>
      </c>
    </row>
    <row r="212" spans="1:10" x14ac:dyDescent="0.25">
      <c r="A212" s="3">
        <v>10670</v>
      </c>
      <c r="B212" s="1">
        <v>44916</v>
      </c>
      <c r="C212" t="s">
        <v>21</v>
      </c>
      <c r="D212" s="2">
        <v>12.99</v>
      </c>
      <c r="E212" s="3">
        <v>677.44</v>
      </c>
      <c r="F212" t="s">
        <v>40</v>
      </c>
      <c r="G212" t="s">
        <v>44</v>
      </c>
      <c r="H212" t="s">
        <v>35</v>
      </c>
      <c r="I212" t="s">
        <v>20</v>
      </c>
      <c r="J212" s="2">
        <f t="shared" si="3"/>
        <v>8799.9456000000009</v>
      </c>
    </row>
    <row r="213" spans="1:10" x14ac:dyDescent="0.25">
      <c r="A213" s="3">
        <v>10671</v>
      </c>
      <c r="B213" s="1">
        <v>44916</v>
      </c>
      <c r="C213" t="s">
        <v>25</v>
      </c>
      <c r="D213" s="2">
        <v>9.9499999999999993</v>
      </c>
      <c r="E213" s="3">
        <v>221.11</v>
      </c>
      <c r="F213" t="s">
        <v>40</v>
      </c>
      <c r="G213" t="s">
        <v>44</v>
      </c>
      <c r="H213" t="s">
        <v>35</v>
      </c>
      <c r="I213" t="s">
        <v>20</v>
      </c>
      <c r="J213" s="2">
        <f t="shared" si="3"/>
        <v>2200.0445</v>
      </c>
    </row>
    <row r="214" spans="1:10" x14ac:dyDescent="0.25">
      <c r="A214" s="3">
        <v>10672</v>
      </c>
      <c r="B214" s="1">
        <v>44916</v>
      </c>
      <c r="C214" t="s">
        <v>9</v>
      </c>
      <c r="D214" s="2">
        <v>3.49</v>
      </c>
      <c r="E214" s="3">
        <v>630.37</v>
      </c>
      <c r="F214" t="s">
        <v>40</v>
      </c>
      <c r="G214" t="s">
        <v>44</v>
      </c>
      <c r="H214" t="s">
        <v>35</v>
      </c>
      <c r="I214" t="s">
        <v>20</v>
      </c>
      <c r="J214" s="2">
        <f t="shared" si="3"/>
        <v>2199.9913000000001</v>
      </c>
    </row>
    <row r="215" spans="1:10" x14ac:dyDescent="0.25">
      <c r="A215" s="3">
        <v>10673</v>
      </c>
      <c r="B215" s="1">
        <v>44916</v>
      </c>
      <c r="C215" t="s">
        <v>14</v>
      </c>
      <c r="D215" s="2">
        <v>2.95</v>
      </c>
      <c r="E215" s="3">
        <v>745.76</v>
      </c>
      <c r="F215" t="s">
        <v>40</v>
      </c>
      <c r="G215" t="s">
        <v>44</v>
      </c>
      <c r="H215" t="s">
        <v>35</v>
      </c>
      <c r="I215" t="s">
        <v>20</v>
      </c>
      <c r="J215" s="2">
        <f t="shared" si="3"/>
        <v>2199.9920000000002</v>
      </c>
    </row>
    <row r="216" spans="1:10" x14ac:dyDescent="0.25">
      <c r="A216" s="3">
        <v>10674</v>
      </c>
      <c r="B216" s="1">
        <v>44916</v>
      </c>
      <c r="C216" t="s">
        <v>17</v>
      </c>
      <c r="D216" s="2">
        <v>4.99</v>
      </c>
      <c r="E216" s="3">
        <v>200.4</v>
      </c>
      <c r="F216" t="s">
        <v>40</v>
      </c>
      <c r="G216" t="s">
        <v>44</v>
      </c>
      <c r="H216" t="s">
        <v>35</v>
      </c>
      <c r="I216" t="s">
        <v>20</v>
      </c>
      <c r="J216" s="2">
        <f t="shared" si="3"/>
        <v>999.99600000000009</v>
      </c>
    </row>
    <row r="217" spans="1:10" x14ac:dyDescent="0.25">
      <c r="A217" s="3">
        <v>10675</v>
      </c>
      <c r="B217" s="1">
        <v>44917</v>
      </c>
      <c r="C217" t="s">
        <v>21</v>
      </c>
      <c r="D217" s="2">
        <v>12.99</v>
      </c>
      <c r="E217" s="3">
        <v>677.44</v>
      </c>
      <c r="F217" t="s">
        <v>40</v>
      </c>
      <c r="G217" t="s">
        <v>44</v>
      </c>
      <c r="H217" t="s">
        <v>35</v>
      </c>
      <c r="I217" t="s">
        <v>20</v>
      </c>
      <c r="J217" s="2">
        <f t="shared" si="3"/>
        <v>8799.9456000000009</v>
      </c>
    </row>
    <row r="218" spans="1:10" x14ac:dyDescent="0.25">
      <c r="A218" s="3">
        <v>10676</v>
      </c>
      <c r="B218" s="1">
        <v>44917</v>
      </c>
      <c r="C218" t="s">
        <v>25</v>
      </c>
      <c r="D218" s="2">
        <v>9.9499999999999993</v>
      </c>
      <c r="E218" s="3">
        <v>241.21</v>
      </c>
      <c r="F218" t="s">
        <v>40</v>
      </c>
      <c r="G218" t="s">
        <v>44</v>
      </c>
      <c r="H218" t="s">
        <v>35</v>
      </c>
      <c r="I218" t="s">
        <v>20</v>
      </c>
      <c r="J218" s="2">
        <f t="shared" si="3"/>
        <v>2400.0394999999999</v>
      </c>
    </row>
    <row r="219" spans="1:10" x14ac:dyDescent="0.25">
      <c r="A219" s="3">
        <v>10677</v>
      </c>
      <c r="B219" s="1">
        <v>44917</v>
      </c>
      <c r="C219" t="s">
        <v>9</v>
      </c>
      <c r="D219" s="2">
        <v>3.49</v>
      </c>
      <c r="E219" s="3">
        <v>630.37</v>
      </c>
      <c r="F219" t="s">
        <v>40</v>
      </c>
      <c r="G219" t="s">
        <v>44</v>
      </c>
      <c r="H219" t="s">
        <v>35</v>
      </c>
      <c r="I219" t="s">
        <v>20</v>
      </c>
      <c r="J219" s="2">
        <f t="shared" si="3"/>
        <v>2199.9913000000001</v>
      </c>
    </row>
    <row r="220" spans="1:10" x14ac:dyDescent="0.25">
      <c r="A220" s="3">
        <v>10678</v>
      </c>
      <c r="B220" s="1">
        <v>44917</v>
      </c>
      <c r="C220" t="s">
        <v>14</v>
      </c>
      <c r="D220" s="2">
        <v>2.95</v>
      </c>
      <c r="E220" s="3">
        <v>745.76</v>
      </c>
      <c r="F220" t="s">
        <v>40</v>
      </c>
      <c r="G220" t="s">
        <v>44</v>
      </c>
      <c r="H220" t="s">
        <v>35</v>
      </c>
      <c r="I220" t="s">
        <v>20</v>
      </c>
      <c r="J220" s="2">
        <f t="shared" si="3"/>
        <v>2199.9920000000002</v>
      </c>
    </row>
    <row r="221" spans="1:10" x14ac:dyDescent="0.25">
      <c r="A221" s="3">
        <v>10679</v>
      </c>
      <c r="B221" s="1">
        <v>44917</v>
      </c>
      <c r="C221" t="s">
        <v>17</v>
      </c>
      <c r="D221" s="2">
        <v>4.99</v>
      </c>
      <c r="E221" s="3">
        <v>200.4</v>
      </c>
      <c r="F221" t="s">
        <v>40</v>
      </c>
      <c r="G221" t="s">
        <v>44</v>
      </c>
      <c r="H221" t="s">
        <v>35</v>
      </c>
      <c r="I221" t="s">
        <v>20</v>
      </c>
      <c r="J221" s="2">
        <f t="shared" si="3"/>
        <v>999.99600000000009</v>
      </c>
    </row>
    <row r="222" spans="1:10" x14ac:dyDescent="0.25">
      <c r="A222" s="3">
        <v>10680</v>
      </c>
      <c r="B222" s="1">
        <v>44918</v>
      </c>
      <c r="C222" t="s">
        <v>21</v>
      </c>
      <c r="D222" s="2">
        <v>12.99</v>
      </c>
      <c r="E222" s="3">
        <v>646.65</v>
      </c>
      <c r="F222" t="s">
        <v>40</v>
      </c>
      <c r="G222" t="s">
        <v>44</v>
      </c>
      <c r="H222" t="s">
        <v>35</v>
      </c>
      <c r="I222" t="s">
        <v>20</v>
      </c>
      <c r="J222" s="2">
        <f t="shared" si="3"/>
        <v>8399.9835000000003</v>
      </c>
    </row>
    <row r="223" spans="1:10" x14ac:dyDescent="0.25">
      <c r="A223" s="3">
        <v>10681</v>
      </c>
      <c r="B223" s="1">
        <v>44918</v>
      </c>
      <c r="C223" t="s">
        <v>25</v>
      </c>
      <c r="D223" s="2">
        <v>9.9499999999999993</v>
      </c>
      <c r="E223" s="3">
        <v>241.21</v>
      </c>
      <c r="F223" t="s">
        <v>40</v>
      </c>
      <c r="G223" t="s">
        <v>44</v>
      </c>
      <c r="H223" t="s">
        <v>35</v>
      </c>
      <c r="I223" t="s">
        <v>20</v>
      </c>
      <c r="J223" s="2">
        <f t="shared" si="3"/>
        <v>2400.0394999999999</v>
      </c>
    </row>
    <row r="224" spans="1:10" x14ac:dyDescent="0.25">
      <c r="A224" s="3">
        <v>10682</v>
      </c>
      <c r="B224" s="1">
        <v>44918</v>
      </c>
      <c r="C224" t="s">
        <v>9</v>
      </c>
      <c r="D224" s="2">
        <v>3.49</v>
      </c>
      <c r="E224" s="3">
        <v>630.37</v>
      </c>
      <c r="F224" t="s">
        <v>40</v>
      </c>
      <c r="G224" t="s">
        <v>44</v>
      </c>
      <c r="H224" t="s">
        <v>35</v>
      </c>
      <c r="I224" t="s">
        <v>20</v>
      </c>
      <c r="J224" s="2">
        <f t="shared" si="3"/>
        <v>2199.9913000000001</v>
      </c>
    </row>
    <row r="225" spans="1:10" x14ac:dyDescent="0.25">
      <c r="A225" s="3">
        <v>10683</v>
      </c>
      <c r="B225" s="1">
        <v>44918</v>
      </c>
      <c r="C225" t="s">
        <v>14</v>
      </c>
      <c r="D225" s="2">
        <v>2.95</v>
      </c>
      <c r="E225" s="3">
        <v>677.97</v>
      </c>
      <c r="F225" t="s">
        <v>40</v>
      </c>
      <c r="G225" t="s">
        <v>44</v>
      </c>
      <c r="H225" t="s">
        <v>35</v>
      </c>
      <c r="I225" t="s">
        <v>20</v>
      </c>
      <c r="J225" s="2">
        <f t="shared" si="3"/>
        <v>2000.0115000000003</v>
      </c>
    </row>
    <row r="226" spans="1:10" x14ac:dyDescent="0.25">
      <c r="A226" s="3">
        <v>10684</v>
      </c>
      <c r="B226" s="1">
        <v>44918</v>
      </c>
      <c r="C226" t="s">
        <v>17</v>
      </c>
      <c r="D226" s="2">
        <v>4.99</v>
      </c>
      <c r="E226" s="3">
        <v>200.4</v>
      </c>
      <c r="F226" t="s">
        <v>40</v>
      </c>
      <c r="G226" t="s">
        <v>44</v>
      </c>
      <c r="H226" t="s">
        <v>35</v>
      </c>
      <c r="I226" t="s">
        <v>20</v>
      </c>
      <c r="J226" s="2">
        <f t="shared" si="3"/>
        <v>999.99600000000009</v>
      </c>
    </row>
    <row r="227" spans="1:10" x14ac:dyDescent="0.25">
      <c r="A227" s="3">
        <v>10685</v>
      </c>
      <c r="B227" s="1">
        <v>44919</v>
      </c>
      <c r="C227" t="s">
        <v>21</v>
      </c>
      <c r="D227" s="2">
        <v>12.99</v>
      </c>
      <c r="E227" s="3">
        <v>677.44</v>
      </c>
      <c r="F227" t="s">
        <v>40</v>
      </c>
      <c r="G227" t="s">
        <v>44</v>
      </c>
      <c r="H227" t="s">
        <v>35</v>
      </c>
      <c r="I227" t="s">
        <v>20</v>
      </c>
      <c r="J227" s="2">
        <f t="shared" si="3"/>
        <v>8799.9456000000009</v>
      </c>
    </row>
    <row r="228" spans="1:10" x14ac:dyDescent="0.25">
      <c r="A228" s="3">
        <v>10686</v>
      </c>
      <c r="B228" s="1">
        <v>44919</v>
      </c>
      <c r="C228" t="s">
        <v>25</v>
      </c>
      <c r="D228" s="2">
        <v>9.9499999999999993</v>
      </c>
      <c r="E228" s="3">
        <v>241.21</v>
      </c>
      <c r="F228" t="s">
        <v>40</v>
      </c>
      <c r="G228" t="s">
        <v>44</v>
      </c>
      <c r="H228" t="s">
        <v>35</v>
      </c>
      <c r="I228" t="s">
        <v>20</v>
      </c>
      <c r="J228" s="2">
        <f t="shared" si="3"/>
        <v>2400.0394999999999</v>
      </c>
    </row>
    <row r="229" spans="1:10" x14ac:dyDescent="0.25">
      <c r="A229" s="3">
        <v>10687</v>
      </c>
      <c r="B229" s="1">
        <v>44919</v>
      </c>
      <c r="C229" t="s">
        <v>9</v>
      </c>
      <c r="D229" s="2">
        <v>3.49</v>
      </c>
      <c r="E229" s="3">
        <v>630.37</v>
      </c>
      <c r="F229" t="s">
        <v>40</v>
      </c>
      <c r="G229" t="s">
        <v>44</v>
      </c>
      <c r="H229" t="s">
        <v>23</v>
      </c>
      <c r="I229" t="s">
        <v>24</v>
      </c>
      <c r="J229" s="2">
        <f t="shared" si="3"/>
        <v>2199.9913000000001</v>
      </c>
    </row>
    <row r="230" spans="1:10" x14ac:dyDescent="0.25">
      <c r="A230" s="3">
        <v>10688</v>
      </c>
      <c r="B230" s="1">
        <v>44919</v>
      </c>
      <c r="C230" t="s">
        <v>14</v>
      </c>
      <c r="D230" s="2">
        <v>2.95</v>
      </c>
      <c r="E230" s="3">
        <v>677.97</v>
      </c>
      <c r="F230" t="s">
        <v>40</v>
      </c>
      <c r="G230" t="s">
        <v>44</v>
      </c>
      <c r="H230" t="s">
        <v>23</v>
      </c>
      <c r="I230" t="s">
        <v>24</v>
      </c>
      <c r="J230" s="2">
        <f t="shared" si="3"/>
        <v>2000.0115000000003</v>
      </c>
    </row>
    <row r="231" spans="1:10" x14ac:dyDescent="0.25">
      <c r="A231" s="3">
        <v>10689</v>
      </c>
      <c r="B231" s="1">
        <v>44919</v>
      </c>
      <c r="C231" t="s">
        <v>17</v>
      </c>
      <c r="D231" s="2">
        <v>4.99</v>
      </c>
      <c r="E231" s="3">
        <v>200.4</v>
      </c>
      <c r="F231" t="s">
        <v>40</v>
      </c>
      <c r="G231" t="s">
        <v>44</v>
      </c>
      <c r="H231" t="s">
        <v>23</v>
      </c>
      <c r="I231" t="s">
        <v>24</v>
      </c>
      <c r="J231" s="2">
        <f t="shared" si="3"/>
        <v>999.99600000000009</v>
      </c>
    </row>
    <row r="232" spans="1:10" x14ac:dyDescent="0.25">
      <c r="A232" s="3">
        <v>10690</v>
      </c>
      <c r="B232" s="1">
        <v>44920</v>
      </c>
      <c r="C232" t="s">
        <v>21</v>
      </c>
      <c r="D232" s="2">
        <v>12.99</v>
      </c>
      <c r="E232" s="3">
        <v>677.44</v>
      </c>
      <c r="F232" t="s">
        <v>40</v>
      </c>
      <c r="G232" t="s">
        <v>44</v>
      </c>
      <c r="H232" t="s">
        <v>23</v>
      </c>
      <c r="I232" t="s">
        <v>24</v>
      </c>
      <c r="J232" s="2">
        <f t="shared" si="3"/>
        <v>8799.9456000000009</v>
      </c>
    </row>
    <row r="233" spans="1:10" x14ac:dyDescent="0.25">
      <c r="A233" s="3">
        <v>10691</v>
      </c>
      <c r="B233" s="1">
        <v>44920</v>
      </c>
      <c r="C233" t="s">
        <v>25</v>
      </c>
      <c r="D233" s="2">
        <v>9.9499999999999993</v>
      </c>
      <c r="E233" s="3">
        <v>261.31</v>
      </c>
      <c r="F233" t="s">
        <v>40</v>
      </c>
      <c r="G233" t="s">
        <v>44</v>
      </c>
      <c r="H233" t="s">
        <v>23</v>
      </c>
      <c r="I233" t="s">
        <v>24</v>
      </c>
      <c r="J233" s="2">
        <f t="shared" si="3"/>
        <v>2600.0344999999998</v>
      </c>
    </row>
    <row r="234" spans="1:10" x14ac:dyDescent="0.25">
      <c r="A234" s="3">
        <v>10692</v>
      </c>
      <c r="B234" s="1">
        <v>44920</v>
      </c>
      <c r="C234" t="s">
        <v>9</v>
      </c>
      <c r="D234" s="2">
        <v>3.49</v>
      </c>
      <c r="E234" s="3">
        <v>630.37</v>
      </c>
      <c r="F234" t="s">
        <v>40</v>
      </c>
      <c r="G234" t="s">
        <v>44</v>
      </c>
      <c r="H234" t="s">
        <v>23</v>
      </c>
      <c r="I234" t="s">
        <v>24</v>
      </c>
      <c r="J234" s="2">
        <f t="shared" si="3"/>
        <v>2199.9913000000001</v>
      </c>
    </row>
    <row r="235" spans="1:10" x14ac:dyDescent="0.25">
      <c r="A235" s="3">
        <v>10693</v>
      </c>
      <c r="B235" s="1">
        <v>44920</v>
      </c>
      <c r="C235" t="s">
        <v>14</v>
      </c>
      <c r="D235" s="2">
        <v>2.95</v>
      </c>
      <c r="E235" s="3">
        <v>677.97</v>
      </c>
      <c r="F235" t="s">
        <v>40</v>
      </c>
      <c r="G235" t="s">
        <v>44</v>
      </c>
      <c r="H235" t="s">
        <v>23</v>
      </c>
      <c r="I235" t="s">
        <v>24</v>
      </c>
      <c r="J235" s="2">
        <f t="shared" si="3"/>
        <v>2000.0115000000003</v>
      </c>
    </row>
    <row r="236" spans="1:10" x14ac:dyDescent="0.25">
      <c r="A236" s="3">
        <v>10694</v>
      </c>
      <c r="B236" s="1">
        <v>44920</v>
      </c>
      <c r="C236" t="s">
        <v>17</v>
      </c>
      <c r="D236" s="2">
        <v>4.99</v>
      </c>
      <c r="E236" s="3">
        <v>200.4</v>
      </c>
      <c r="F236" t="s">
        <v>40</v>
      </c>
      <c r="G236" t="s">
        <v>44</v>
      </c>
      <c r="H236" t="s">
        <v>23</v>
      </c>
      <c r="I236" t="s">
        <v>24</v>
      </c>
      <c r="J236" s="2">
        <f t="shared" si="3"/>
        <v>999.99600000000009</v>
      </c>
    </row>
    <row r="237" spans="1:10" x14ac:dyDescent="0.25">
      <c r="A237" s="3">
        <v>10695</v>
      </c>
      <c r="B237" s="1">
        <v>44921</v>
      </c>
      <c r="C237" t="s">
        <v>21</v>
      </c>
      <c r="D237" s="2">
        <v>12.99</v>
      </c>
      <c r="E237" s="3">
        <v>692.84</v>
      </c>
      <c r="F237" t="s">
        <v>40</v>
      </c>
      <c r="G237" t="s">
        <v>44</v>
      </c>
      <c r="H237" t="s">
        <v>23</v>
      </c>
      <c r="I237" t="s">
        <v>24</v>
      </c>
      <c r="J237" s="2">
        <f t="shared" si="3"/>
        <v>8999.9916000000012</v>
      </c>
    </row>
    <row r="238" spans="1:10" x14ac:dyDescent="0.25">
      <c r="A238" s="3">
        <v>10696</v>
      </c>
      <c r="B238" s="1">
        <v>44921</v>
      </c>
      <c r="C238" t="s">
        <v>25</v>
      </c>
      <c r="D238" s="2">
        <v>9.9499999999999993</v>
      </c>
      <c r="E238" s="3">
        <v>281.41000000000003</v>
      </c>
      <c r="F238" t="s">
        <v>40</v>
      </c>
      <c r="G238" t="s">
        <v>44</v>
      </c>
      <c r="H238" t="s">
        <v>23</v>
      </c>
      <c r="I238" t="s">
        <v>24</v>
      </c>
      <c r="J238" s="2">
        <f t="shared" si="3"/>
        <v>2800.0295000000001</v>
      </c>
    </row>
    <row r="239" spans="1:10" x14ac:dyDescent="0.25">
      <c r="A239" s="3">
        <v>10697</v>
      </c>
      <c r="B239" s="1">
        <v>44921</v>
      </c>
      <c r="C239" t="s">
        <v>9</v>
      </c>
      <c r="D239" s="2">
        <v>3.49</v>
      </c>
      <c r="E239" s="3">
        <v>630.37</v>
      </c>
      <c r="F239" t="s">
        <v>40</v>
      </c>
      <c r="G239" t="s">
        <v>44</v>
      </c>
      <c r="H239" t="s">
        <v>23</v>
      </c>
      <c r="I239" t="s">
        <v>24</v>
      </c>
      <c r="J239" s="2">
        <f t="shared" si="3"/>
        <v>2199.9913000000001</v>
      </c>
    </row>
    <row r="240" spans="1:10" x14ac:dyDescent="0.25">
      <c r="A240" s="3">
        <v>10698</v>
      </c>
      <c r="B240" s="1">
        <v>44921</v>
      </c>
      <c r="C240" t="s">
        <v>14</v>
      </c>
      <c r="D240" s="2">
        <v>2.95</v>
      </c>
      <c r="E240" s="3">
        <v>677.97</v>
      </c>
      <c r="F240" t="s">
        <v>40</v>
      </c>
      <c r="G240" t="s">
        <v>44</v>
      </c>
      <c r="H240" t="s">
        <v>23</v>
      </c>
      <c r="I240" t="s">
        <v>24</v>
      </c>
      <c r="J240" s="2">
        <f t="shared" si="3"/>
        <v>2000.0115000000003</v>
      </c>
    </row>
    <row r="241" spans="1:10" x14ac:dyDescent="0.25">
      <c r="A241" s="3">
        <v>10699</v>
      </c>
      <c r="B241" s="1">
        <v>44921</v>
      </c>
      <c r="C241" t="s">
        <v>17</v>
      </c>
      <c r="D241" s="2">
        <v>4.99</v>
      </c>
      <c r="E241" s="3">
        <v>200.4</v>
      </c>
      <c r="F241" t="s">
        <v>40</v>
      </c>
      <c r="G241" t="s">
        <v>44</v>
      </c>
      <c r="H241" t="s">
        <v>23</v>
      </c>
      <c r="I241" t="s">
        <v>24</v>
      </c>
      <c r="J241" s="2">
        <f t="shared" si="3"/>
        <v>999.99600000000009</v>
      </c>
    </row>
    <row r="242" spans="1:10" x14ac:dyDescent="0.25">
      <c r="A242" s="3">
        <v>10700</v>
      </c>
      <c r="B242" s="1">
        <v>44922</v>
      </c>
      <c r="C242" t="s">
        <v>21</v>
      </c>
      <c r="D242" s="2">
        <v>12.99</v>
      </c>
      <c r="E242" s="3">
        <v>692.84</v>
      </c>
      <c r="F242" t="s">
        <v>40</v>
      </c>
      <c r="G242" t="s">
        <v>44</v>
      </c>
      <c r="H242" t="s">
        <v>23</v>
      </c>
      <c r="I242" t="s">
        <v>24</v>
      </c>
      <c r="J242" s="2">
        <f t="shared" si="3"/>
        <v>8999.9916000000012</v>
      </c>
    </row>
    <row r="243" spans="1:10" x14ac:dyDescent="0.25">
      <c r="A243" s="3">
        <v>10701</v>
      </c>
      <c r="B243" s="1">
        <v>44922</v>
      </c>
      <c r="C243" t="s">
        <v>25</v>
      </c>
      <c r="D243" s="2">
        <v>9.9499999999999993</v>
      </c>
      <c r="E243" s="3">
        <v>281.41000000000003</v>
      </c>
      <c r="F243" t="s">
        <v>40</v>
      </c>
      <c r="G243" t="s">
        <v>44</v>
      </c>
      <c r="H243" t="s">
        <v>23</v>
      </c>
      <c r="I243" t="s">
        <v>24</v>
      </c>
      <c r="J243" s="2">
        <f t="shared" si="3"/>
        <v>2800.0295000000001</v>
      </c>
    </row>
    <row r="244" spans="1:10" x14ac:dyDescent="0.25">
      <c r="A244" s="3">
        <v>10702</v>
      </c>
      <c r="B244" s="1">
        <v>44922</v>
      </c>
      <c r="C244" t="s">
        <v>9</v>
      </c>
      <c r="D244" s="2">
        <v>3.49</v>
      </c>
      <c r="E244" s="3">
        <v>630.37</v>
      </c>
      <c r="F244" t="s">
        <v>40</v>
      </c>
      <c r="G244" t="s">
        <v>44</v>
      </c>
      <c r="H244" t="s">
        <v>23</v>
      </c>
      <c r="I244" t="s">
        <v>24</v>
      </c>
      <c r="J244" s="2">
        <f t="shared" si="3"/>
        <v>2199.9913000000001</v>
      </c>
    </row>
    <row r="245" spans="1:10" x14ac:dyDescent="0.25">
      <c r="A245" s="3">
        <v>10703</v>
      </c>
      <c r="B245" s="1">
        <v>44922</v>
      </c>
      <c r="C245" t="s">
        <v>14</v>
      </c>
      <c r="D245" s="2">
        <v>2.95</v>
      </c>
      <c r="E245" s="3">
        <v>677.97</v>
      </c>
      <c r="F245" t="s">
        <v>40</v>
      </c>
      <c r="G245" t="s">
        <v>42</v>
      </c>
      <c r="H245" t="s">
        <v>23</v>
      </c>
      <c r="I245" t="s">
        <v>24</v>
      </c>
      <c r="J245" s="2">
        <f t="shared" si="3"/>
        <v>2000.0115000000003</v>
      </c>
    </row>
    <row r="246" spans="1:10" x14ac:dyDescent="0.25">
      <c r="A246" s="3">
        <v>10704</v>
      </c>
      <c r="B246" s="1">
        <v>44922</v>
      </c>
      <c r="C246" t="s">
        <v>17</v>
      </c>
      <c r="D246" s="2">
        <v>4.99</v>
      </c>
      <c r="E246" s="3">
        <v>200.4</v>
      </c>
      <c r="F246" t="s">
        <v>41</v>
      </c>
      <c r="G246" t="s">
        <v>42</v>
      </c>
      <c r="H246" t="s">
        <v>23</v>
      </c>
      <c r="I246" t="s">
        <v>24</v>
      </c>
      <c r="J246" s="2">
        <f t="shared" si="3"/>
        <v>999.99600000000009</v>
      </c>
    </row>
    <row r="247" spans="1:10" x14ac:dyDescent="0.25">
      <c r="A247" s="3">
        <v>10705</v>
      </c>
      <c r="B247" s="1">
        <v>44923</v>
      </c>
      <c r="C247" t="s">
        <v>21</v>
      </c>
      <c r="D247" s="2">
        <v>12.99</v>
      </c>
      <c r="E247" s="3">
        <v>723.63</v>
      </c>
      <c r="F247" t="s">
        <v>41</v>
      </c>
      <c r="G247" t="s">
        <v>42</v>
      </c>
      <c r="H247" t="s">
        <v>23</v>
      </c>
      <c r="I247" t="s">
        <v>24</v>
      </c>
      <c r="J247" s="2">
        <f t="shared" si="3"/>
        <v>9399.9537</v>
      </c>
    </row>
    <row r="248" spans="1:10" x14ac:dyDescent="0.25">
      <c r="A248" s="3">
        <v>10706</v>
      </c>
      <c r="B248" s="1">
        <v>44923</v>
      </c>
      <c r="C248" t="s">
        <v>25</v>
      </c>
      <c r="D248" s="2">
        <v>9.9499999999999993</v>
      </c>
      <c r="E248" s="3">
        <v>301.51</v>
      </c>
      <c r="F248" t="s">
        <v>41</v>
      </c>
      <c r="G248" t="s">
        <v>42</v>
      </c>
      <c r="H248" t="s">
        <v>23</v>
      </c>
      <c r="I248" t="s">
        <v>24</v>
      </c>
      <c r="J248" s="2">
        <f t="shared" si="3"/>
        <v>3000.0244999999995</v>
      </c>
    </row>
    <row r="249" spans="1:10" x14ac:dyDescent="0.25">
      <c r="A249" s="3">
        <v>10707</v>
      </c>
      <c r="B249" s="1">
        <v>44923</v>
      </c>
      <c r="C249" t="s">
        <v>9</v>
      </c>
      <c r="D249" s="2">
        <v>3.49</v>
      </c>
      <c r="E249" s="3">
        <v>630.37</v>
      </c>
      <c r="F249" t="s">
        <v>41</v>
      </c>
      <c r="G249" t="s">
        <v>42</v>
      </c>
      <c r="H249" t="s">
        <v>23</v>
      </c>
      <c r="I249" t="s">
        <v>24</v>
      </c>
      <c r="J249" s="2">
        <f t="shared" si="3"/>
        <v>2199.9913000000001</v>
      </c>
    </row>
    <row r="250" spans="1:10" x14ac:dyDescent="0.25">
      <c r="A250" s="3">
        <v>10708</v>
      </c>
      <c r="B250" s="1">
        <v>44923</v>
      </c>
      <c r="C250" t="s">
        <v>14</v>
      </c>
      <c r="D250" s="2">
        <v>2.95</v>
      </c>
      <c r="E250" s="3">
        <v>677.97</v>
      </c>
      <c r="F250" t="s">
        <v>41</v>
      </c>
      <c r="G250" t="s">
        <v>42</v>
      </c>
      <c r="H250" t="s">
        <v>23</v>
      </c>
      <c r="I250" t="s">
        <v>24</v>
      </c>
      <c r="J250" s="2">
        <f t="shared" si="3"/>
        <v>2000.0115000000003</v>
      </c>
    </row>
    <row r="251" spans="1:10" x14ac:dyDescent="0.25">
      <c r="A251" s="3">
        <v>10709</v>
      </c>
      <c r="B251" s="1">
        <v>44923</v>
      </c>
      <c r="C251" t="s">
        <v>17</v>
      </c>
      <c r="D251" s="2">
        <v>4.99</v>
      </c>
      <c r="E251" s="3">
        <v>200.4</v>
      </c>
      <c r="F251" t="s">
        <v>41</v>
      </c>
      <c r="G251" t="s">
        <v>42</v>
      </c>
      <c r="H251" t="s">
        <v>23</v>
      </c>
      <c r="I251" t="s">
        <v>24</v>
      </c>
      <c r="J251" s="2">
        <f t="shared" si="3"/>
        <v>999.99600000000009</v>
      </c>
    </row>
    <row r="252" spans="1:10" x14ac:dyDescent="0.25">
      <c r="A252" s="3">
        <v>10710</v>
      </c>
      <c r="B252" s="1">
        <v>44924</v>
      </c>
      <c r="C252" t="s">
        <v>21</v>
      </c>
      <c r="D252" s="2">
        <v>12.99</v>
      </c>
      <c r="E252" s="3">
        <v>754.43</v>
      </c>
      <c r="F252" t="s">
        <v>41</v>
      </c>
      <c r="G252" t="s">
        <v>42</v>
      </c>
      <c r="H252" t="s">
        <v>23</v>
      </c>
      <c r="I252" t="s">
        <v>24</v>
      </c>
      <c r="J252" s="2">
        <f t="shared" si="3"/>
        <v>9800.0456999999988</v>
      </c>
    </row>
    <row r="253" spans="1:10" x14ac:dyDescent="0.25">
      <c r="A253" s="3">
        <v>10711</v>
      </c>
      <c r="B253" s="1">
        <v>44924</v>
      </c>
      <c r="C253" t="s">
        <v>25</v>
      </c>
      <c r="D253" s="2">
        <v>9.9499999999999993</v>
      </c>
      <c r="E253" s="3">
        <v>281.41000000000003</v>
      </c>
      <c r="F253" t="s">
        <v>41</v>
      </c>
      <c r="G253" t="s">
        <v>42</v>
      </c>
      <c r="H253" t="s">
        <v>23</v>
      </c>
      <c r="I253" t="s">
        <v>24</v>
      </c>
      <c r="J253" s="2">
        <f t="shared" si="3"/>
        <v>2800.0295000000001</v>
      </c>
    </row>
    <row r="254" spans="1:10" x14ac:dyDescent="0.25">
      <c r="A254" s="3">
        <v>10712</v>
      </c>
      <c r="B254" s="1">
        <v>44924</v>
      </c>
      <c r="C254" t="s">
        <v>9</v>
      </c>
      <c r="D254" s="2">
        <v>3.49</v>
      </c>
      <c r="E254" s="3">
        <v>630.37</v>
      </c>
      <c r="F254" t="s">
        <v>41</v>
      </c>
      <c r="G254" t="s">
        <v>42</v>
      </c>
      <c r="H254" t="s">
        <v>23</v>
      </c>
      <c r="I254" t="s">
        <v>24</v>
      </c>
      <c r="J254" s="2">
        <f t="shared" si="3"/>
        <v>2199.9913000000001</v>
      </c>
    </row>
    <row r="255" spans="1:10" x14ac:dyDescent="0.25">
      <c r="A255" s="3">
        <v>10713</v>
      </c>
      <c r="B255" s="1">
        <v>44924</v>
      </c>
      <c r="C255" t="s">
        <v>14</v>
      </c>
      <c r="D255" s="2">
        <v>2.95</v>
      </c>
      <c r="E255" s="3">
        <v>677.97</v>
      </c>
      <c r="F255" t="s">
        <v>41</v>
      </c>
      <c r="G255" t="s">
        <v>42</v>
      </c>
      <c r="H255" t="s">
        <v>23</v>
      </c>
      <c r="I255" t="s">
        <v>24</v>
      </c>
      <c r="J255" s="2">
        <f t="shared" si="3"/>
        <v>2000.0115000000003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D9"/>
  <sheetViews>
    <sheetView workbookViewId="0">
      <selection activeCell="C14" sqref="C14"/>
    </sheetView>
  </sheetViews>
  <sheetFormatPr defaultRowHeight="15" x14ac:dyDescent="0.25"/>
  <cols>
    <col min="3" max="3" width="72.85546875" bestFit="1" customWidth="1"/>
    <col min="4" max="4" width="43.85546875" bestFit="1" customWidth="1"/>
  </cols>
  <sheetData>
    <row r="3" spans="3:4" ht="23.25" x14ac:dyDescent="0.35">
      <c r="C3" s="12" t="s">
        <v>58</v>
      </c>
      <c r="D3" s="13"/>
    </row>
    <row r="4" spans="3:4" x14ac:dyDescent="0.25">
      <c r="C4" s="14" t="s">
        <v>46</v>
      </c>
      <c r="D4" s="14" t="s">
        <v>47</v>
      </c>
    </row>
    <row r="5" spans="3:4" x14ac:dyDescent="0.25">
      <c r="C5" s="15" t="s">
        <v>55</v>
      </c>
      <c r="D5" s="15" t="s">
        <v>50</v>
      </c>
    </row>
    <row r="6" spans="3:4" x14ac:dyDescent="0.25">
      <c r="C6" s="15" t="s">
        <v>48</v>
      </c>
      <c r="D6" s="15" t="s">
        <v>51</v>
      </c>
    </row>
    <row r="7" spans="3:4" x14ac:dyDescent="0.25">
      <c r="C7" s="15" t="s">
        <v>49</v>
      </c>
      <c r="D7" s="15" t="s">
        <v>52</v>
      </c>
    </row>
    <row r="8" spans="3:4" x14ac:dyDescent="0.25">
      <c r="C8" s="15" t="s">
        <v>56</v>
      </c>
      <c r="D8" s="15" t="s">
        <v>53</v>
      </c>
    </row>
    <row r="9" spans="3:4" x14ac:dyDescent="0.25">
      <c r="C9" s="15" t="s">
        <v>57</v>
      </c>
      <c r="D9" s="15" t="s">
        <v>54</v>
      </c>
    </row>
  </sheetData>
  <mergeCells count="1">
    <mergeCell ref="C3:D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1"/>
  <sheetViews>
    <sheetView workbookViewId="0">
      <selection activeCell="F6" sqref="F6"/>
    </sheetView>
  </sheetViews>
  <sheetFormatPr defaultRowHeight="15" x14ac:dyDescent="0.25"/>
  <cols>
    <col min="1" max="1" width="7" customWidth="1"/>
    <col min="2" max="2" width="13.42578125" customWidth="1"/>
    <col min="3" max="3" width="20.140625" customWidth="1"/>
    <col min="4" max="4" width="19.5703125" customWidth="1"/>
    <col min="5" max="5" width="13.140625" customWidth="1"/>
    <col min="6" max="6" width="20.140625" customWidth="1"/>
    <col min="7" max="7" width="22.85546875" customWidth="1"/>
    <col min="8" max="8" width="5.85546875" customWidth="1"/>
    <col min="9" max="9" width="19.140625" bestFit="1" customWidth="1"/>
    <col min="10" max="10" width="23.7109375" bestFit="1" customWidth="1"/>
  </cols>
  <sheetData>
    <row r="3" spans="1:12" x14ac:dyDescent="0.25">
      <c r="A3" s="3"/>
      <c r="B3" s="16" t="s">
        <v>64</v>
      </c>
      <c r="C3" s="16"/>
      <c r="D3" s="3"/>
      <c r="E3" t="s">
        <v>62</v>
      </c>
      <c r="H3" s="3"/>
      <c r="I3" s="16" t="s">
        <v>63</v>
      </c>
      <c r="J3" s="16"/>
      <c r="K3" s="16"/>
      <c r="L3" s="16"/>
    </row>
    <row r="5" spans="1:12" x14ac:dyDescent="0.25">
      <c r="B5" s="5" t="s">
        <v>65</v>
      </c>
      <c r="C5" t="s">
        <v>67</v>
      </c>
      <c r="E5" s="5" t="s">
        <v>65</v>
      </c>
      <c r="F5" t="s">
        <v>68</v>
      </c>
      <c r="I5" s="5" t="s">
        <v>65</v>
      </c>
      <c r="J5" t="s">
        <v>69</v>
      </c>
    </row>
    <row r="6" spans="1:12" x14ac:dyDescent="0.25">
      <c r="B6" s="8" t="s">
        <v>14</v>
      </c>
      <c r="C6" s="6">
        <v>34983.140000000007</v>
      </c>
      <c r="E6" s="8" t="s">
        <v>43</v>
      </c>
      <c r="F6" s="6">
        <v>361715.02650000021</v>
      </c>
      <c r="I6" s="8" t="s">
        <v>21</v>
      </c>
      <c r="J6" s="6">
        <v>7249.9962865384596</v>
      </c>
    </row>
    <row r="7" spans="1:12" x14ac:dyDescent="0.25">
      <c r="B7" s="8" t="s">
        <v>9</v>
      </c>
      <c r="C7" s="6">
        <v>32034.339999999986</v>
      </c>
      <c r="E7" s="8" t="s">
        <v>44</v>
      </c>
      <c r="F7" s="6">
        <v>239200.23550000007</v>
      </c>
      <c r="I7" s="8" t="s">
        <v>9</v>
      </c>
      <c r="J7" s="6">
        <v>2464.2017705882331</v>
      </c>
    </row>
    <row r="8" spans="1:12" x14ac:dyDescent="0.25">
      <c r="B8" s="8" t="s">
        <v>21</v>
      </c>
      <c r="C8" s="6">
        <v>29022.309999999994</v>
      </c>
      <c r="E8" s="8" t="s">
        <v>42</v>
      </c>
      <c r="F8" s="6">
        <v>168600.59719999996</v>
      </c>
      <c r="I8" s="8" t="s">
        <v>25</v>
      </c>
      <c r="J8" s="6">
        <v>2204.6479807692313</v>
      </c>
    </row>
    <row r="9" spans="1:12" x14ac:dyDescent="0.25">
      <c r="B9" s="8" t="s">
        <v>25</v>
      </c>
      <c r="C9" s="6">
        <v>11135.920000000002</v>
      </c>
      <c r="E9" s="8" t="s">
        <v>66</v>
      </c>
      <c r="F9" s="6">
        <v>769515.8592000003</v>
      </c>
      <c r="I9" s="8" t="s">
        <v>14</v>
      </c>
      <c r="J9" s="6">
        <v>2064.0052599999985</v>
      </c>
    </row>
    <row r="10" spans="1:12" x14ac:dyDescent="0.25">
      <c r="B10" s="8" t="s">
        <v>17</v>
      </c>
      <c r="C10" s="6">
        <v>9819.5999999999913</v>
      </c>
      <c r="I10" s="8" t="s">
        <v>17</v>
      </c>
      <c r="J10" s="6">
        <v>999.9959999999993</v>
      </c>
    </row>
    <row r="11" spans="1:12" x14ac:dyDescent="0.25">
      <c r="B11" s="8" t="s">
        <v>66</v>
      </c>
      <c r="C11" s="6">
        <v>116995.30999999997</v>
      </c>
      <c r="I11" s="8" t="s">
        <v>66</v>
      </c>
      <c r="J11" s="6">
        <v>3029.5899968504004</v>
      </c>
    </row>
    <row r="13" spans="1:12" x14ac:dyDescent="0.25">
      <c r="A13" s="3"/>
      <c r="B13" s="16" t="s">
        <v>60</v>
      </c>
      <c r="C13" s="16"/>
      <c r="D13" s="16"/>
      <c r="E13" s="16" t="s">
        <v>61</v>
      </c>
      <c r="F13" s="16"/>
      <c r="G13" s="16"/>
      <c r="H13" s="16"/>
    </row>
    <row r="15" spans="1:12" x14ac:dyDescent="0.25">
      <c r="B15" s="5" t="s">
        <v>65</v>
      </c>
      <c r="C15" t="s">
        <v>68</v>
      </c>
      <c r="E15" s="5" t="s">
        <v>65</v>
      </c>
      <c r="F15" t="s">
        <v>70</v>
      </c>
    </row>
    <row r="16" spans="1:12" x14ac:dyDescent="0.25">
      <c r="B16" s="8" t="s">
        <v>35</v>
      </c>
      <c r="C16" s="6">
        <v>241714.11570000008</v>
      </c>
      <c r="E16" s="8" t="s">
        <v>43</v>
      </c>
      <c r="F16" s="6">
        <v>120</v>
      </c>
    </row>
    <row r="17" spans="2:6" x14ac:dyDescent="0.25">
      <c r="B17" s="8" t="s">
        <v>38</v>
      </c>
      <c r="C17" s="6">
        <v>211201.04059999986</v>
      </c>
      <c r="E17" s="8" t="s">
        <v>44</v>
      </c>
      <c r="F17" s="6">
        <v>76</v>
      </c>
    </row>
    <row r="18" spans="2:6" x14ac:dyDescent="0.25">
      <c r="B18" s="8" t="s">
        <v>31</v>
      </c>
      <c r="C18" s="6">
        <v>136200.26649999997</v>
      </c>
      <c r="E18" s="8" t="s">
        <v>42</v>
      </c>
      <c r="F18" s="6">
        <v>58</v>
      </c>
    </row>
    <row r="19" spans="2:6" x14ac:dyDescent="0.25">
      <c r="B19" s="8" t="s">
        <v>23</v>
      </c>
      <c r="C19" s="6">
        <v>100600.13129999998</v>
      </c>
      <c r="E19" s="8" t="s">
        <v>66</v>
      </c>
      <c r="F19" s="6">
        <v>254</v>
      </c>
    </row>
    <row r="20" spans="2:6" x14ac:dyDescent="0.25">
      <c r="B20" s="8" t="s">
        <v>28</v>
      </c>
      <c r="C20" s="6">
        <v>79800.305099999983</v>
      </c>
    </row>
    <row r="21" spans="2:6" x14ac:dyDescent="0.25">
      <c r="B21" s="8" t="s">
        <v>66</v>
      </c>
      <c r="C21" s="6">
        <v>769515.85919999995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5"/>
  <sheetViews>
    <sheetView showGridLines="0" zoomScale="90" zoomScaleNormal="90" workbookViewId="0">
      <selection activeCell="B2" sqref="B2"/>
    </sheetView>
  </sheetViews>
  <sheetFormatPr defaultRowHeight="15" x14ac:dyDescent="0.25"/>
  <sheetData>
    <row r="1" spans="1:32" ht="61.5" x14ac:dyDescent="0.9">
      <c r="A1" s="11" t="s">
        <v>71</v>
      </c>
      <c r="B1" s="11"/>
      <c r="C1" s="11"/>
      <c r="D1" s="11"/>
      <c r="E1" s="11"/>
      <c r="F1" s="11"/>
      <c r="G1" s="11"/>
      <c r="H1" s="11"/>
      <c r="I1" s="11"/>
      <c r="J1" s="11"/>
      <c r="K1" s="11"/>
      <c r="L1" s="11"/>
      <c r="M1" s="11"/>
      <c r="N1" s="11"/>
      <c r="O1" s="11"/>
      <c r="P1" s="11"/>
      <c r="Q1" s="11"/>
      <c r="R1" s="11"/>
      <c r="S1" s="11"/>
      <c r="T1" s="11"/>
      <c r="U1" s="11"/>
      <c r="V1" s="11"/>
      <c r="W1" s="11"/>
      <c r="X1" s="11"/>
      <c r="Y1" s="10"/>
      <c r="Z1" s="10"/>
      <c r="AA1" s="10"/>
      <c r="AB1" s="10"/>
      <c r="AC1" s="10"/>
      <c r="AD1" s="9"/>
      <c r="AE1" s="9"/>
      <c r="AF1" s="9"/>
    </row>
    <row r="2" spans="1:32"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row>
    <row r="3" spans="1:32" x14ac:dyDescent="0.25">
      <c r="A3" s="7"/>
      <c r="B3" s="7"/>
      <c r="C3" s="7"/>
      <c r="D3" s="7"/>
      <c r="E3" s="7"/>
      <c r="F3" s="7"/>
      <c r="G3" s="7"/>
      <c r="H3" s="7"/>
      <c r="I3" s="7"/>
      <c r="J3" s="7"/>
      <c r="K3" s="7"/>
      <c r="L3" s="7"/>
      <c r="M3" s="7"/>
      <c r="N3" s="7"/>
      <c r="O3" s="7"/>
      <c r="P3" s="7"/>
      <c r="Q3" s="7"/>
      <c r="R3" s="7"/>
      <c r="S3" s="7"/>
      <c r="T3" s="7"/>
      <c r="U3" s="7"/>
      <c r="V3" s="7"/>
      <c r="W3" s="7"/>
      <c r="X3" s="7"/>
      <c r="Y3" s="7"/>
      <c r="Z3" s="7"/>
      <c r="AA3" s="7"/>
      <c r="AB3" s="7"/>
      <c r="AC3" s="7"/>
    </row>
    <row r="4" spans="1:32"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row>
    <row r="5" spans="1:32" x14ac:dyDescent="0.25">
      <c r="A5" s="7"/>
      <c r="B5" s="7"/>
      <c r="C5" s="7"/>
      <c r="D5" s="7"/>
      <c r="E5" s="7"/>
      <c r="F5" s="7"/>
      <c r="G5" s="7"/>
      <c r="H5" s="7"/>
      <c r="I5" s="7"/>
      <c r="J5" s="7"/>
      <c r="K5" s="7"/>
      <c r="L5" s="7"/>
      <c r="M5" s="7"/>
      <c r="N5" s="7"/>
      <c r="O5" s="7"/>
      <c r="P5" s="7"/>
      <c r="Q5" s="7"/>
      <c r="R5" s="7"/>
      <c r="S5" s="7"/>
      <c r="T5" s="7"/>
      <c r="U5" s="7"/>
      <c r="V5" s="7"/>
      <c r="W5" s="7"/>
      <c r="X5" s="7"/>
      <c r="Y5" s="7"/>
      <c r="Z5" s="7"/>
      <c r="AA5" s="7"/>
      <c r="AB5" s="7"/>
      <c r="AC5" s="7"/>
    </row>
    <row r="6" spans="1:32" x14ac:dyDescent="0.25">
      <c r="A6" s="7"/>
      <c r="B6" s="7"/>
      <c r="C6" s="7"/>
      <c r="D6" s="7"/>
      <c r="E6" s="7"/>
      <c r="F6" s="7"/>
      <c r="G6" s="7"/>
      <c r="H6" s="7"/>
      <c r="I6" s="7"/>
      <c r="J6" s="7"/>
      <c r="K6" s="7"/>
      <c r="L6" s="7"/>
      <c r="M6" s="7"/>
      <c r="N6" s="7"/>
      <c r="O6" s="7"/>
      <c r="P6" s="7"/>
      <c r="Q6" s="7"/>
      <c r="R6" s="7"/>
      <c r="S6" s="7"/>
      <c r="T6" s="7"/>
      <c r="U6" s="7"/>
      <c r="V6" s="7"/>
      <c r="W6" s="7"/>
      <c r="X6" s="7"/>
      <c r="Y6" s="7"/>
      <c r="Z6" s="7"/>
      <c r="AA6" s="7"/>
      <c r="AB6" s="7"/>
      <c r="AC6" s="7"/>
    </row>
    <row r="7" spans="1:32" x14ac:dyDescent="0.25">
      <c r="A7" s="7"/>
      <c r="B7" s="7"/>
      <c r="C7" s="7"/>
      <c r="D7" s="7"/>
      <c r="E7" s="7"/>
      <c r="F7" s="7"/>
      <c r="G7" s="7"/>
      <c r="H7" s="7"/>
      <c r="I7" s="7"/>
      <c r="J7" s="7"/>
      <c r="K7" s="7"/>
      <c r="L7" s="7"/>
      <c r="M7" s="7"/>
      <c r="N7" s="7"/>
      <c r="O7" s="7"/>
      <c r="P7" s="7"/>
      <c r="Q7" s="7"/>
      <c r="R7" s="7"/>
      <c r="S7" s="7"/>
      <c r="T7" s="7"/>
      <c r="U7" s="7"/>
      <c r="V7" s="7"/>
      <c r="W7" s="7"/>
      <c r="X7" s="7"/>
      <c r="Y7" s="7"/>
      <c r="Z7" s="7"/>
      <c r="AA7" s="7"/>
      <c r="AB7" s="7"/>
      <c r="AC7" s="7"/>
    </row>
    <row r="8" spans="1:32" x14ac:dyDescent="0.25">
      <c r="A8" s="7"/>
      <c r="B8" s="7"/>
      <c r="C8" s="7"/>
      <c r="D8" s="7"/>
      <c r="E8" s="7"/>
      <c r="F8" s="7"/>
      <c r="G8" s="7"/>
      <c r="H8" s="7"/>
      <c r="I8" s="7"/>
      <c r="J8" s="7"/>
      <c r="K8" s="7"/>
      <c r="L8" s="7"/>
      <c r="M8" s="7"/>
      <c r="N8" s="7"/>
      <c r="O8" s="7"/>
      <c r="P8" s="7"/>
      <c r="Q8" s="7"/>
      <c r="R8" s="7"/>
      <c r="S8" s="7"/>
      <c r="T8" s="7"/>
      <c r="U8" s="7"/>
      <c r="V8" s="7"/>
      <c r="W8" s="7"/>
      <c r="X8" s="7"/>
      <c r="Y8" s="7"/>
      <c r="Z8" s="7"/>
      <c r="AA8" s="7"/>
      <c r="AB8" s="7"/>
      <c r="AC8" s="7"/>
    </row>
    <row r="9" spans="1:32" x14ac:dyDescent="0.25">
      <c r="A9" s="7"/>
      <c r="B9" s="7"/>
      <c r="C9" s="7"/>
      <c r="D9" s="7"/>
      <c r="E9" s="7"/>
      <c r="F9" s="7"/>
      <c r="G9" s="7"/>
      <c r="H9" s="7"/>
      <c r="I9" s="7"/>
      <c r="J9" s="7"/>
      <c r="K9" s="7"/>
      <c r="L9" s="7"/>
      <c r="M9" s="7"/>
      <c r="N9" s="7"/>
      <c r="O9" s="7"/>
      <c r="P9" s="7"/>
      <c r="Q9" s="7"/>
      <c r="R9" s="7"/>
      <c r="S9" s="7"/>
      <c r="T9" s="7"/>
      <c r="U9" s="7"/>
      <c r="V9" s="7"/>
      <c r="W9" s="7"/>
      <c r="X9" s="7"/>
      <c r="Y9" s="7"/>
      <c r="Z9" s="7"/>
      <c r="AA9" s="7"/>
      <c r="AB9" s="7"/>
      <c r="AC9" s="7"/>
    </row>
    <row r="10" spans="1:32"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row>
    <row r="11" spans="1:32"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row>
    <row r="12" spans="1:32" x14ac:dyDescent="0.2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row>
    <row r="13" spans="1:32" x14ac:dyDescent="0.2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row>
    <row r="14" spans="1:32"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row>
    <row r="15" spans="1:32"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row>
    <row r="16" spans="1:32"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row>
    <row r="17" spans="1:29"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row>
    <row r="18" spans="1:29"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row>
    <row r="19" spans="1:29"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row>
    <row r="20" spans="1:29"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row>
    <row r="21" spans="1:29" x14ac:dyDescent="0.2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row>
    <row r="22" spans="1:29" x14ac:dyDescent="0.2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row>
    <row r="23" spans="1:29"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row>
    <row r="24" spans="1:29"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row>
    <row r="25" spans="1:29"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row>
    <row r="26" spans="1:29" x14ac:dyDescent="0.2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row>
    <row r="27" spans="1:29"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row>
    <row r="28" spans="1:29"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row>
    <row r="29" spans="1:29"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row>
    <row r="30" spans="1:29"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row>
    <row r="31" spans="1:29"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row>
    <row r="32" spans="1:29" x14ac:dyDescent="0.2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row>
    <row r="33" spans="1:29" x14ac:dyDescent="0.2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row>
    <row r="34" spans="1:29"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row>
    <row r="35" spans="1:29"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row>
    <row r="36" spans="1:29" x14ac:dyDescent="0.2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row>
    <row r="37" spans="1:29" x14ac:dyDescent="0.2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row>
    <row r="38" spans="1:29" x14ac:dyDescent="0.2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row>
    <row r="39" spans="1:29" x14ac:dyDescent="0.2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row>
    <row r="40" spans="1:29" x14ac:dyDescent="0.2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row>
    <row r="41" spans="1:29" x14ac:dyDescent="0.2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row>
    <row r="42" spans="1:29" x14ac:dyDescent="0.2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row>
    <row r="43" spans="1:29" x14ac:dyDescent="0.2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row>
    <row r="44" spans="1:29" x14ac:dyDescent="0.2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row>
    <row r="45" spans="1:29" x14ac:dyDescent="0.2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row>
    <row r="46" spans="1:29" x14ac:dyDescent="0.2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row>
    <row r="47" spans="1:29" x14ac:dyDescent="0.2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row>
    <row r="48" spans="1:29" x14ac:dyDescent="0.2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row>
    <row r="49" spans="1:29" x14ac:dyDescent="0.2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row>
    <row r="50" spans="1:29"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row>
    <row r="51" spans="1:29" x14ac:dyDescent="0.2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row>
    <row r="52" spans="1:29" x14ac:dyDescent="0.2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row>
    <row r="53" spans="1:29" x14ac:dyDescent="0.2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row>
    <row r="54" spans="1:29" x14ac:dyDescent="0.2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row>
    <row r="55" spans="1:29" x14ac:dyDescent="0.2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row>
  </sheetData>
  <mergeCells count="1">
    <mergeCell ref="A1:X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22"/>
  <sheetViews>
    <sheetView topLeftCell="A2" workbookViewId="0">
      <selection activeCell="B17" sqref="B17"/>
    </sheetView>
  </sheetViews>
  <sheetFormatPr defaultRowHeight="15" x14ac:dyDescent="0.25"/>
  <cols>
    <col min="2" max="2" width="125.85546875" bestFit="1" customWidth="1"/>
  </cols>
  <sheetData>
    <row r="3" spans="2:2" x14ac:dyDescent="0.25">
      <c r="B3" s="4" t="s">
        <v>59</v>
      </c>
    </row>
    <row r="4" spans="2:2" x14ac:dyDescent="0.25">
      <c r="B4" t="s">
        <v>64</v>
      </c>
    </row>
    <row r="5" spans="2:2" x14ac:dyDescent="0.25">
      <c r="B5" t="s">
        <v>62</v>
      </c>
    </row>
    <row r="6" spans="2:2" x14ac:dyDescent="0.25">
      <c r="B6" t="s">
        <v>63</v>
      </c>
    </row>
    <row r="7" spans="2:2" x14ac:dyDescent="0.25">
      <c r="B7" t="s">
        <v>60</v>
      </c>
    </row>
    <row r="8" spans="2:2" x14ac:dyDescent="0.25">
      <c r="B8" t="s">
        <v>61</v>
      </c>
    </row>
    <row r="10" spans="2:2" x14ac:dyDescent="0.25">
      <c r="B10" s="4" t="s">
        <v>75</v>
      </c>
    </row>
    <row r="11" spans="2:2" x14ac:dyDescent="0.25">
      <c r="B11" t="s">
        <v>76</v>
      </c>
    </row>
    <row r="12" spans="2:2" x14ac:dyDescent="0.25">
      <c r="B12" t="s">
        <v>77</v>
      </c>
    </row>
    <row r="13" spans="2:2" x14ac:dyDescent="0.25">
      <c r="B13" t="s">
        <v>78</v>
      </c>
    </row>
    <row r="14" spans="2:2" x14ac:dyDescent="0.25">
      <c r="B14" t="s">
        <v>79</v>
      </c>
    </row>
    <row r="15" spans="2:2" x14ac:dyDescent="0.25">
      <c r="B15" t="s">
        <v>80</v>
      </c>
    </row>
    <row r="17" spans="2:2" x14ac:dyDescent="0.25">
      <c r="B17" s="4" t="s">
        <v>81</v>
      </c>
    </row>
    <row r="18" spans="2:2" x14ac:dyDescent="0.25">
      <c r="B18" t="s">
        <v>82</v>
      </c>
    </row>
    <row r="19" spans="2:2" x14ac:dyDescent="0.25">
      <c r="B19" t="s">
        <v>83</v>
      </c>
    </row>
    <row r="20" spans="2:2" x14ac:dyDescent="0.25">
      <c r="B20" t="s">
        <v>84</v>
      </c>
    </row>
    <row r="21" spans="2:2" x14ac:dyDescent="0.25">
      <c r="B21" t="s">
        <v>85</v>
      </c>
    </row>
    <row r="22" spans="2:2" x14ac:dyDescent="0.25">
      <c r="B22" t="s">
        <v>86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Restorent Sales Data</vt:lpstr>
      <vt:lpstr>Changelog</vt:lpstr>
      <vt:lpstr>Pivot Table</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NAJIYA NAJI</dc:creator>
  <cp:lastModifiedBy>NAJIYA ALFAS</cp:lastModifiedBy>
  <dcterms:created xsi:type="dcterms:W3CDTF">2026-09-13T23:19:17Z</dcterms:created>
  <dcterms:modified xsi:type="dcterms:W3CDTF">2026-09-15T02:22:13Z</dcterms:modified>
</cp:coreProperties>
</file>